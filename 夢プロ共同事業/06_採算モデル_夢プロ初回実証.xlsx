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アチーバー案件収支" sheetId="2" state="visible" r:id="rId4"/>
    <sheet name="施設収支" sheetId="3" state="visible" r:id="rId5"/>
    <sheet name="シナリオ" sheetId="4" state="visible" r:id="rId6"/>
    <sheet name="先行負担" sheetId="5" state="visible" r:id="rId7"/>
    <sheet name="共同余剰分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<sst xmlns="http://schemas.openxmlformats.org/spreadsheetml/2006/main" count="193" uniqueCount="172">
  <si>
    <t xml:space="preserve">夢プロ 初回実証（ホテル1施設・1商品・90日）採算モデル ― 前提条件</t>
  </si>
  <si>
    <t xml:space="preserve">すべて仮定の数字です（実績・見積・売上予測ではありません）。青字=入力値、黄色=特に未確定で影響が大きい値。金額は税抜・円。</t>
  </si>
  <si>
    <t xml:space="preserve">アチーバーの収入（施設・スポンサーから受領）</t>
  </si>
  <si>
    <t xml:space="preserve">企画運営費（初期一括）</t>
  </si>
  <si>
    <t xml:space="preserve">仮定。商品設計・撮影段取り・紹介ページ・予約連携設計まで</t>
  </si>
  <si>
    <t xml:space="preserve">月額運営料（1か月）</t>
  </si>
  <si>
    <t xml:space="preserve">仮定。発信運用・問い合わせ補助・週次集計・月次報告</t>
  </si>
  <si>
    <t xml:space="preserve">運営月数</t>
  </si>
  <si>
    <t xml:space="preserve">初回実証期間</t>
  </si>
  <si>
    <t xml:space="preserve">個別案件費 件数</t>
  </si>
  <si>
    <t xml:space="preserve">追加動画・季節差し替え等。基本ケースは0件</t>
  </si>
  <si>
    <t xml:space="preserve">個別案件費 単価</t>
  </si>
  <si>
    <t xml:space="preserve">仮定</t>
  </si>
  <si>
    <t xml:space="preserve">協賛 社数</t>
  </si>
  <si>
    <t xml:space="preserve">基本ケースは0社（未獲得のため）。シナリオシートで1〜2社を試算</t>
  </si>
  <si>
    <t xml:space="preserve">協賛 単価（1社）</t>
  </si>
  <si>
    <t xml:space="preserve">仮定。協賛商品「体験提供＋動画内紹介＋ページ掲載」</t>
  </si>
  <si>
    <t xml:space="preserve">協賛履行の追加原価（1社）</t>
  </si>
  <si>
    <t xml:space="preserve">紹介カット追加撮影・編集など</t>
  </si>
  <si>
    <t xml:space="preserve">アチーバーの外部支出（キャッシュアウト）</t>
  </si>
  <si>
    <t xml:space="preserve">出演費（体験出演・発信 一式）</t>
  </si>
  <si>
    <t xml:space="preserve">仮定。鈴木優香さんの参加・金額・投稿条件は未確定</t>
  </si>
  <si>
    <t xml:space="preserve">撮影費（外部撮影 1日）</t>
  </si>
  <si>
    <t xml:space="preserve">編集外注費</t>
  </si>
  <si>
    <t xml:space="preserve">仮定。短尺動画の仕上げ。AIチームは下書き・切り出し補助</t>
  </si>
  <si>
    <t xml:space="preserve">交通費</t>
  </si>
  <si>
    <t xml:space="preserve">仮定。施設の所在地で大きく変動</t>
  </si>
  <si>
    <t xml:space="preserve">広告費（90日合計）</t>
  </si>
  <si>
    <t xml:space="preserve">仮定。SNS広告の配信費</t>
  </si>
  <si>
    <t xml:space="preserve">広告費の扱い（1=施設が実費負担 / 0=アチーバー負担）</t>
  </si>
  <si>
    <t xml:space="preserve">基本ケースはアチーバー負担（保守的）</t>
  </si>
  <si>
    <t xml:space="preserve">システム費（月額）</t>
  </si>
  <si>
    <t xml:space="preserve">紹介ページ・計測ツール・ドメイン等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</si>
  <si>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ツール利用料（月額）</t>
    </r>
  </si>
  <si>
    <t xml:space="preserve">個別案件 1件あたり外部原価</t>
  </si>
  <si>
    <t xml:space="preserve">社内作業費（工数×単価。キャッシュではなく機会費用として計上）</t>
  </si>
  <si>
    <t xml:space="preserve">人の作業時間（営業・提案・契約調整・進行・確認）</t>
  </si>
  <si>
    <t xml:space="preserve">時間。選考・交渉・公開確認・契約判断は人が行う</t>
  </si>
  <si>
    <t xml:space="preserve">人の時間単価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</si>
  <si>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チーム作業時間（人による確認・修正を含む）</t>
    </r>
  </si>
  <si>
    <t xml:space="preserve">時間。AIチームの処理能力は未実証のため、時間短縮を見込まず計上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</si>
  <si>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チーム時間単価</t>
    </r>
  </si>
  <si>
    <t xml:space="preserve">個別案件 1件あたり人の作業時間</t>
  </si>
  <si>
    <t xml:space="preserve">時間</t>
  </si>
  <si>
    <t xml:space="preserve">施設側（ホテル）</t>
  </si>
  <si>
    <t xml:space="preserve">プラン販売価格（1室2名・税抜）</t>
  </si>
  <si>
    <t xml:space="preserve">仮定。宿泊＋夕朝食＋スパ</t>
  </si>
  <si>
    <t xml:space="preserve">　うち客室</t>
  </si>
  <si>
    <t xml:space="preserve">　うち食事</t>
  </si>
  <si>
    <t xml:space="preserve">　うちスパ</t>
  </si>
  <si>
    <t xml:space="preserve">客室変動費（1室：清掃・リネン・アメニティ）</t>
  </si>
  <si>
    <t xml:space="preserve">食事原価率</t>
  </si>
  <si>
    <t xml:space="preserve">スパ原価率（施設→クレドへの施術料の比率）</t>
  </si>
  <si>
    <t xml:space="preserve">仮定。クレドと施設の契約形態は未確定</t>
  </si>
  <si>
    <t xml:space="preserve">識別できた予約完了数（90日）</t>
  </si>
  <si>
    <t xml:space="preserve">仮定の入力値。予測ではない。専用プランコードで識別できた件数</t>
  </si>
  <si>
    <t xml:space="preserve">キャンセル率</t>
  </si>
  <si>
    <t xml:space="preserve">増分率（この施策がなければ発生しなかった予約の割合）</t>
  </si>
  <si>
    <t xml:space="preserve">仮定。既存客の振替を差し引くための係数</t>
  </si>
  <si>
    <t xml:space="preserve">施設の撮影協力原価（撮影時の宿泊・食事・スパ提供）</t>
  </si>
  <si>
    <t xml:space="preserve">仮定。施設の原価ベース</t>
  </si>
  <si>
    <t xml:space="preserve">内訳チェック（客室＋食事＋スパ − 販売価格。0であること）</t>
  </si>
  <si>
    <t xml:space="preserve">アチーバー側 案件収支（初回90日）</t>
  </si>
  <si>
    <t xml:space="preserve">仮定の数字による試算。施設の売上・利益とは別勘定。総売上を利益や分配原資として扱わない。</t>
  </si>
  <si>
    <t xml:space="preserve">収入</t>
  </si>
  <si>
    <t xml:space="preserve">企画運営費</t>
  </si>
  <si>
    <t xml:space="preserve">施設から</t>
  </si>
  <si>
    <t xml:space="preserve">月額運営料</t>
  </si>
  <si>
    <t xml:space="preserve">個別案件費</t>
  </si>
  <si>
    <t xml:space="preserve">協賛売上</t>
  </si>
  <si>
    <t xml:space="preserve">スポンサーから</t>
  </si>
  <si>
    <t xml:space="preserve">広告費の実費請求</t>
  </si>
  <si>
    <t xml:space="preserve">施設負担の場合のみ（同額を支出にも計上）</t>
  </si>
  <si>
    <t xml:space="preserve">収入合計</t>
  </si>
  <si>
    <t xml:space="preserve">外部支出</t>
  </si>
  <si>
    <t xml:space="preserve">出演費</t>
  </si>
  <si>
    <t xml:space="preserve">撮影費</t>
  </si>
  <si>
    <t xml:space="preserve">広告費</t>
  </si>
  <si>
    <t xml:space="preserve">システム費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</si>
  <si>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ツール利用料</t>
    </r>
  </si>
  <si>
    <t xml:space="preserve">協賛履行の追加原価</t>
  </si>
  <si>
    <t xml:space="preserve">個別案件の外部原価</t>
  </si>
  <si>
    <t xml:space="preserve">外部支出合計</t>
  </si>
  <si>
    <t xml:space="preserve">現金ベースの粗利（収入−外部支出）</t>
  </si>
  <si>
    <t xml:space="preserve">キャッシュが残るかの判定</t>
  </si>
  <si>
    <t xml:space="preserve">社内作業費</t>
  </si>
  <si>
    <t xml:space="preserve">人の作業費</t>
  </si>
  <si>
    <t xml:space="preserve">基本工数＋個別案件分</t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</si>
  <si>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チーム作業費</t>
    </r>
  </si>
  <si>
    <t xml:space="preserve">作業費合計</t>
  </si>
  <si>
    <t xml:space="preserve">案件利益（工数込み）</t>
  </si>
  <si>
    <t xml:space="preserve">継続判断に使う利益</t>
  </si>
  <si>
    <t xml:space="preserve">案件利益率</t>
  </si>
  <si>
    <t xml:space="preserve">協賛1社あたりの利益寄与</t>
  </si>
  <si>
    <t xml:space="preserve">工数込み黒字に必要な協賛社数</t>
  </si>
  <si>
    <t xml:space="preserve">協賛以外の条件は現状のまま</t>
  </si>
  <si>
    <t xml:space="preserve">施設側 収支（初回90日・本プラン分のみ）</t>
  </si>
  <si>
    <t xml:space="preserve">仮定の数字による試算。予約数は入力値であり予測ではない。売上は利用完了ベース。</t>
  </si>
  <si>
    <t xml:space="preserve">件数</t>
  </si>
  <si>
    <t xml:space="preserve">識別できた予約完了</t>
  </si>
  <si>
    <t xml:space="preserve">専用プランコードで識別。識別できない予約は含めない</t>
  </si>
  <si>
    <t xml:space="preserve">キャンセル</t>
  </si>
  <si>
    <t xml:space="preserve">利用完了</t>
  </si>
  <si>
    <t xml:space="preserve">チェックアウト済み</t>
  </si>
  <si>
    <t xml:space="preserve">売上・変動費（利用完了ベース）</t>
  </si>
  <si>
    <t xml:space="preserve">プラン売上</t>
  </si>
  <si>
    <t xml:space="preserve">　客室変動費</t>
  </si>
  <si>
    <t xml:space="preserve">　食事原価</t>
  </si>
  <si>
    <t xml:space="preserve">　スパ原価（クレドへの施術料）</t>
  </si>
  <si>
    <t xml:space="preserve">限界利益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</si>
  <si>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室あたり限界利益</t>
    </r>
  </si>
  <si>
    <t xml:space="preserve">増分限界利益（×増分率）</t>
  </si>
  <si>
    <t xml:space="preserve">既存客の振替分を除外</t>
  </si>
  <si>
    <t xml:space="preserve">施策の費用</t>
  </si>
  <si>
    <t xml:space="preserve">アチーバーへの支払（企画運営費＋月額＋個別＋広告実費）</t>
  </si>
  <si>
    <t xml:space="preserve">協賛金はスポンサーが支払うため含まない</t>
  </si>
  <si>
    <t xml:space="preserve">撮影協力原価</t>
  </si>
  <si>
    <t xml:space="preserve">施策費用合計</t>
  </si>
  <si>
    <t xml:space="preserve">施設の増分利益（90日）</t>
  </si>
  <si>
    <t xml:space="preserve">損益分岐に必要な利用完了数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</si>
  <si>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室限界利益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増分率で施策費用を回収する件数</t>
    </r>
  </si>
  <si>
    <t xml:space="preserve">損益分岐に必要な予約完了数（キャンセル考慮）</t>
  </si>
  <si>
    <t xml:space="preserve">参考：クレド側</t>
  </si>
  <si>
    <t xml:space="preserve">スパ施術料（施設→クレド）</t>
  </si>
  <si>
    <t xml:space="preserve">契約形態（施術料・場所代・売上分配）は未確定。クレドの利益はここから施術者人件費等を引いたもの</t>
  </si>
  <si>
    <t xml:space="preserve">感応度（仮定の数字による試算。予測ではない）</t>
  </si>
  <si>
    <t xml:space="preserve">表1 アチーバー案件利益（工数込み）× 協賛社数</t>
  </si>
  <si>
    <t xml:space="preserve">協賛社数</t>
  </si>
  <si>
    <t xml:space="preserve">案件利益</t>
  </si>
  <si>
    <t xml:space="preserve">表2 施設の増分利益（90日）× 識別できた予約完了数</t>
  </si>
  <si>
    <t xml:space="preserve">予約完了数</t>
  </si>
  <si>
    <t xml:space="preserve">施設の増分利益</t>
  </si>
  <si>
    <t xml:space="preserve">読み方：表1は協賛以外を前提シートのまま、表2は予約数以外を前提シートのままにした試算。</t>
  </si>
  <si>
    <t xml:space="preserve">現在の仮定では、施設が損益分岐に達するのに必要な件数と、アチーバーが工数込みで黒字化する条件が両立しにくい。料金設計の論点として使う。</t>
  </si>
  <si>
    <t xml:space="preserve">アチーバーの先行負担（施設と契約・着手金入金前）</t>
  </si>
  <si>
    <t xml:space="preserve">原則：契約前は外部への発注をしない。出演費・撮影費・広告費は契約と着手金入金の後に発注。</t>
  </si>
  <si>
    <t xml:space="preserve">項目</t>
  </si>
  <si>
    <t xml:space="preserve">単価</t>
  </si>
  <si>
    <t xml:space="preserve">金額</t>
  </si>
  <si>
    <t xml:space="preserve">備考</t>
  </si>
  <si>
    <t xml:space="preserve">施設調査・提案書作成（AIチーム）</t>
  </si>
  <si>
    <t xml:space="preserve">確認・修正時間を含む</t>
  </si>
  <si>
    <t xml:space="preserve">提案・打合せ・出演打診の準備（人）</t>
  </si>
  <si>
    <t xml:space="preserve">白井さん同席の打合せ含む</t>
  </si>
  <si>
    <t xml:space="preserve">デモ・紹介ページ試作（AIチーム）</t>
  </si>
  <si>
    <t xml:space="preserve">公開しない試作</t>
  </si>
  <si>
    <t xml:space="preserve">交通費（現地確認）</t>
  </si>
  <si>
    <t xml:space="preserve">実費</t>
  </si>
  <si>
    <t xml:space="preserve">先行負担 合計（工数込み）</t>
  </si>
  <si>
    <t xml:space="preserve">うち外部支出</t>
  </si>
  <si>
    <t xml:space="preserve">上限（工数込み）</t>
  </si>
  <si>
    <t xml:space="preserve">仮定。超える場合は斎藤が継続可否を判断</t>
  </si>
  <si>
    <t xml:space="preserve">上限（外部支出）</t>
  </si>
  <si>
    <t xml:space="preserve">判定</t>
  </si>
  <si>
    <t xml:space="preserve">上限の考え方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</si>
  <si>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契約前に失ってよい金額を先に決める。今回は「工数込み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万円・外部支出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万円」を仮置き。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</si>
  <si>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出演費・撮影費・広告費は、施設との契約締結と着手金（企画運営費の</t>
    </r>
    <r>
      <rPr>
        <sz val="11"/>
        <rFont val="Arial"/>
        <family val="0"/>
        <charset val="1"/>
      </rPr>
      <t xml:space="preserve">50%</t>
    </r>
    <r>
      <rPr>
        <sz val="11"/>
        <rFont val="Noto Sans CJK SC"/>
        <family val="2"/>
      </rPr>
      <t xml:space="preserve">を想定）の入金後に発注する。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</si>
  <si>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出演者への正式依頼は、出演条件・肖像利用範囲・費用負担者が決まってから行う。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</si>
  <si>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施設の合意が得られない場合、作成済みの調査・提案書は次の施設候補に転用する。</t>
    </r>
  </si>
  <si>
    <t xml:space="preserve">共同余剰分析（施設＋アチーバーの合計。料金の取り合いでは変わらない部分）</t>
  </si>
  <si>
    <t xml:space="preserve">仮定の数字による試算。予測ではない。クレドのスパ利益は原価不明のため含めない。</t>
  </si>
  <si>
    <t xml:space="preserve">アチーバーの案件利益（工数込み）</t>
  </si>
  <si>
    <t xml:space="preserve">合計余剰</t>
  </si>
  <si>
    <r>
      <rPr>
        <sz val="11"/>
        <rFont val="Noto Sans CJK SC"/>
        <family val="2"/>
      </rPr>
      <t xml:space="preserve">検算：利用完了</t>
    </r>
    <r>
      <rPr>
        <sz val="11"/>
        <rFont val="Arial"/>
        <family val="0"/>
        <charset val="1"/>
      </rPr>
      <t xml:space="preserve">×1</t>
    </r>
    <r>
      <rPr>
        <sz val="11"/>
        <rFont val="Noto Sans CJK SC"/>
        <family val="2"/>
      </rPr>
      <t xml:space="preserve">室増分限界利益＋協賛純額−固定費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</si>
  <si>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室あたり増分限界利益（限界利益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増分率）</t>
    </r>
  </si>
  <si>
    <t xml:space="preserve">初回の固定費合計（外部支出＋作業費＋撮影協力。協賛・個別・広告実費請求を除く）</t>
  </si>
  <si>
    <r>
      <rPr>
        <b val="true"/>
        <sz val="11"/>
        <rFont val="Noto Sans CJK SC"/>
        <family val="2"/>
      </rPr>
      <t xml:space="preserve">表</t>
    </r>
    <r>
      <rPr>
        <b val="true"/>
        <sz val="11"/>
        <rFont val="Arial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合計で黒字になる件数（協賛社数別）</t>
    </r>
  </si>
  <si>
    <t xml:space="preserve">必要な利用完了数</t>
  </si>
  <si>
    <t xml:space="preserve">必要な予約完了数</t>
  </si>
  <si>
    <r>
      <rPr>
        <b val="true"/>
        <sz val="11"/>
        <rFont val="Noto Sans CJK SC"/>
        <family val="2"/>
      </rPr>
      <t xml:space="preserve">表</t>
    </r>
    <r>
      <rPr>
        <b val="true"/>
        <sz val="11"/>
        <rFont val="Arial"/>
        <family val="0"/>
        <charset val="1"/>
      </rPr>
      <t xml:space="preserve">B 1</t>
    </r>
    <r>
      <rPr>
        <b val="true"/>
        <sz val="11"/>
        <rFont val="Noto Sans CJK SC"/>
        <family val="2"/>
      </rPr>
      <t xml:space="preserve">施設あたり固定費を下げた場合の必要件数（協賛なし）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</si>
  <si>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施設あたり固定費</t>
    </r>
  </si>
  <si>
    <t xml:space="preserve">読み方：合計余剰がマイナスのとき、料金をどう分けてもどちらかが赤字になる。改善できるのは件数・増分率・単価・協賛・固定費のいずれか。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</si>
</sst>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"/>
    <numFmt numFmtId="167" formatCode="#,##0"/>
    <numFmt numFmtId="168" formatCode="0.0%;\(0.0%\);\-"/>
    <numFmt numFmtId="169" formatCode="&quot;協賛&quot;0\社"/>
    <numFmt numFmtId="170" formatCode="0\件"/>
    <numFmt numFmtId="171" formatCode="#,##0;\(#,##0\);\-"/>
    <numFmt numFmtId="172" formatCode="0\社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sz val="11"/>
      <color theme="1"/>
      <name val="Arial"/>
      <family val="0"/>
      <charset val="1"/>
    </font>
    <font>
      <b val="true"/>
      <sz val="11"/>
      <color rgb="FFC00000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9"/>
      <color rgb="FF555555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555555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3"/>
      <name val="Noto Sans CJK SC"/>
      <family val="2"/>
    </font>
    <font>
      <b val="true"/>
      <sz val="11"/>
      <color rgb="FFC00000"/>
      <name val="Noto Sans CJK SC"/>
      <family val="2"/>
    </font>
    <font>
      <sz val="11"/>
      <color rgb="FF008000"/>
      <name val="Noto Sans CJK SC"/>
      <family val="2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DE3E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9.5" hidden="false" customHeight="true" outlineLevel="0" collapsed="false">
      <c r="A1" s="2" t="s">
        <v>0</v>
      </c>
      <c r="B1" s="3"/>
      <c r="C1" s="3"/>
    </row>
    <row r="2" customFormat="false" ht="16.5" hidden="false" customHeight="true" outlineLevel="0" collapsed="false">
      <c r="A2" s="4" t="s">
        <v>1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5" t="s">
        <v>2</v>
      </c>
      <c r="B4" s="6"/>
      <c r="C4" s="6"/>
    </row>
    <row r="5" customFormat="false" ht="15" hidden="false" customHeight="true" outlineLevel="0" collapsed="false">
      <c r="A5" s="7" t="s">
        <v>3</v>
      </c>
      <c r="B5" s="8" t="n">
        <v>800000</v>
      </c>
      <c r="C5" s="9" t="s">
        <v>4</v>
      </c>
    </row>
    <row r="6" customFormat="false" ht="16.5" hidden="false" customHeight="true" outlineLevel="0" collapsed="false">
      <c r="A6" s="7" t="s">
        <v>5</v>
      </c>
      <c r="B6" s="8" t="n">
        <v>250000</v>
      </c>
      <c r="C6" s="9" t="s">
        <v>6</v>
      </c>
    </row>
    <row r="7" customFormat="false" ht="15" hidden="false" customHeight="true" outlineLevel="0" collapsed="false">
      <c r="A7" s="7" t="s">
        <v>7</v>
      </c>
      <c r="B7" s="10" t="n">
        <v>3</v>
      </c>
      <c r="C7" s="9" t="s">
        <v>8</v>
      </c>
    </row>
    <row r="8" customFormat="false" ht="15" hidden="false" customHeight="true" outlineLevel="0" collapsed="false">
      <c r="A8" s="7" t="s">
        <v>9</v>
      </c>
      <c r="B8" s="10" t="n">
        <v>0</v>
      </c>
      <c r="C8" s="9" t="s">
        <v>10</v>
      </c>
    </row>
    <row r="9" customFormat="false" ht="15" hidden="false" customHeight="true" outlineLevel="0" collapsed="false">
      <c r="A9" s="7" t="s">
        <v>11</v>
      </c>
      <c r="B9" s="11" t="n">
        <v>150000</v>
      </c>
      <c r="C9" s="9" t="s">
        <v>12</v>
      </c>
    </row>
    <row r="10" customFormat="false" ht="15" hidden="false" customHeight="true" outlineLevel="0" collapsed="false">
      <c r="A10" s="7" t="s">
        <v>13</v>
      </c>
      <c r="B10" s="12" t="n">
        <v>0</v>
      </c>
      <c r="C10" s="9" t="s">
        <v>14</v>
      </c>
    </row>
    <row r="11" customFormat="false" ht="16.5" hidden="false" customHeight="true" outlineLevel="0" collapsed="false">
      <c r="A11" s="7" t="s">
        <v>15</v>
      </c>
      <c r="B11" s="8" t="n">
        <v>500000</v>
      </c>
      <c r="C11" s="9" t="s">
        <v>16</v>
      </c>
    </row>
    <row r="12" customFormat="false" ht="16.5" hidden="false" customHeight="true" outlineLevel="0" collapsed="false">
      <c r="A12" s="7" t="s">
        <v>17</v>
      </c>
      <c r="B12" s="11" t="n">
        <v>50000</v>
      </c>
      <c r="C12" s="9" t="s">
        <v>18</v>
      </c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5" t="s">
        <v>19</v>
      </c>
      <c r="B14" s="6"/>
      <c r="C14" s="6"/>
    </row>
    <row r="15" customFormat="false" ht="15" hidden="false" customHeight="true" outlineLevel="0" collapsed="false">
      <c r="A15" s="7" t="s">
        <v>20</v>
      </c>
      <c r="B15" s="8" t="n">
        <v>400000</v>
      </c>
      <c r="C15" s="9" t="s">
        <v>21</v>
      </c>
    </row>
    <row r="16" customFormat="false" ht="16.5" hidden="false" customHeight="true" outlineLevel="0" collapsed="false">
      <c r="A16" s="7" t="s">
        <v>22</v>
      </c>
      <c r="B16" s="11" t="n">
        <v>200000</v>
      </c>
      <c r="C16" s="9" t="s">
        <v>12</v>
      </c>
    </row>
    <row r="17" customFormat="false" ht="15" hidden="false" customHeight="true" outlineLevel="0" collapsed="false">
      <c r="A17" s="7" t="s">
        <v>23</v>
      </c>
      <c r="B17" s="11" t="n">
        <v>150000</v>
      </c>
      <c r="C17" s="9" t="s">
        <v>24</v>
      </c>
    </row>
    <row r="18" customFormat="false" ht="15" hidden="false" customHeight="true" outlineLevel="0" collapsed="false">
      <c r="A18" s="7" t="s">
        <v>25</v>
      </c>
      <c r="B18" s="11" t="n">
        <v>50000</v>
      </c>
      <c r="C18" s="9" t="s">
        <v>26</v>
      </c>
    </row>
    <row r="19" customFormat="false" ht="16.5" hidden="false" customHeight="true" outlineLevel="0" collapsed="false">
      <c r="A19" s="7" t="s">
        <v>27</v>
      </c>
      <c r="B19" s="8" t="n">
        <v>300000</v>
      </c>
      <c r="C19" s="9" t="s">
        <v>28</v>
      </c>
    </row>
    <row r="20" customFormat="false" ht="16.5" hidden="false" customHeight="true" outlineLevel="0" collapsed="false">
      <c r="A20" s="7" t="s">
        <v>29</v>
      </c>
      <c r="B20" s="12" t="n">
        <v>0</v>
      </c>
      <c r="C20" s="9" t="s">
        <v>30</v>
      </c>
    </row>
    <row r="21" customFormat="false" ht="15" hidden="false" customHeight="true" outlineLevel="0" collapsed="false">
      <c r="A21" s="7" t="s">
        <v>31</v>
      </c>
      <c r="B21" s="11" t="n">
        <v>30000</v>
      </c>
      <c r="C21" s="9" t="s">
        <v>32</v>
      </c>
    </row>
    <row r="22" customFormat="false" ht="16.5" hidden="false" customHeight="true" outlineLevel="0" collapsed="false">
      <c r="A22" s="13" t="s">
        <v>33</v>
      </c>
      <c r="B22" s="11" t="n">
        <v>20000</v>
      </c>
      <c r="C22" s="9" t="s">
        <v>12</v>
      </c>
    </row>
    <row r="23" customFormat="false" ht="16.5" hidden="false" customHeight="true" outlineLevel="0" collapsed="false">
      <c r="A23" s="7" t="s">
        <v>34</v>
      </c>
      <c r="B23" s="11" t="n">
        <v>50000</v>
      </c>
      <c r="C23" s="9" t="s">
        <v>12</v>
      </c>
    </row>
    <row r="24" customFormat="false" ht="15" hidden="false" customHeight="true" outlineLevel="0" collapsed="false">
      <c r="A24" s="3"/>
      <c r="B24" s="3"/>
      <c r="C24" s="3"/>
    </row>
    <row r="25" customFormat="false" ht="16.5" hidden="false" customHeight="true" outlineLevel="0" collapsed="false">
      <c r="A25" s="5" t="s">
        <v>35</v>
      </c>
      <c r="B25" s="6"/>
      <c r="C25" s="6"/>
    </row>
    <row r="26" customFormat="false" ht="15" hidden="false" customHeight="true" outlineLevel="0" collapsed="false">
      <c r="A26" s="7" t="s">
        <v>36</v>
      </c>
      <c r="B26" s="14" t="n">
        <v>60</v>
      </c>
      <c r="C26" s="9" t="s">
        <v>37</v>
      </c>
    </row>
    <row r="27" customFormat="false" ht="15" hidden="false" customHeight="true" outlineLevel="0" collapsed="false">
      <c r="A27" s="7" t="s">
        <v>38</v>
      </c>
      <c r="B27" s="11" t="n">
        <v>8000</v>
      </c>
      <c r="C27" s="9" t="s">
        <v>12</v>
      </c>
    </row>
    <row r="28" customFormat="false" ht="16.5" hidden="false" customHeight="true" outlineLevel="0" collapsed="false">
      <c r="A28" s="13" t="s">
        <v>39</v>
      </c>
      <c r="B28" s="15" t="n">
        <v>50</v>
      </c>
      <c r="C28" s="9" t="s">
        <v>40</v>
      </c>
    </row>
    <row r="29" customFormat="false" ht="16.5" hidden="false" customHeight="true" outlineLevel="0" collapsed="false">
      <c r="A29" s="13" t="s">
        <v>41</v>
      </c>
      <c r="B29" s="11" t="n">
        <v>5000</v>
      </c>
      <c r="C29" s="9" t="s">
        <v>12</v>
      </c>
    </row>
    <row r="30" customFormat="false" ht="16.5" hidden="false" customHeight="true" outlineLevel="0" collapsed="false">
      <c r="A30" s="7" t="s">
        <v>42</v>
      </c>
      <c r="B30" s="14" t="n">
        <v>8</v>
      </c>
      <c r="C30" s="9" t="s">
        <v>43</v>
      </c>
    </row>
    <row r="31" customFormat="false" ht="15" hidden="false" customHeight="true" outlineLevel="0" collapsed="false">
      <c r="A31" s="3"/>
      <c r="B31" s="3"/>
      <c r="C31" s="3"/>
    </row>
    <row r="32" customFormat="false" ht="15" hidden="false" customHeight="true" outlineLevel="0" collapsed="false">
      <c r="A32" s="5" t="s">
        <v>44</v>
      </c>
      <c r="B32" s="6"/>
      <c r="C32" s="6"/>
    </row>
    <row r="33" customFormat="false" ht="16.5" hidden="false" customHeight="true" outlineLevel="0" collapsed="false">
      <c r="A33" s="7" t="s">
        <v>45</v>
      </c>
      <c r="B33" s="8" t="n">
        <v>80000</v>
      </c>
      <c r="C33" s="9" t="s">
        <v>46</v>
      </c>
    </row>
    <row r="34" customFormat="false" ht="15" hidden="false" customHeight="true" outlineLevel="0" collapsed="false">
      <c r="A34" s="7" t="s">
        <v>47</v>
      </c>
      <c r="B34" s="11" t="n">
        <v>40000</v>
      </c>
      <c r="C34" s="9" t="s">
        <v>12</v>
      </c>
    </row>
    <row r="35" customFormat="false" ht="15" hidden="false" customHeight="true" outlineLevel="0" collapsed="false">
      <c r="A35" s="7" t="s">
        <v>48</v>
      </c>
      <c r="B35" s="11" t="n">
        <v>24000</v>
      </c>
      <c r="C35" s="9" t="s">
        <v>12</v>
      </c>
    </row>
    <row r="36" customFormat="false" ht="15" hidden="false" customHeight="true" outlineLevel="0" collapsed="false">
      <c r="A36" s="7" t="s">
        <v>49</v>
      </c>
      <c r="B36" s="11" t="n">
        <v>16000</v>
      </c>
      <c r="C36" s="9" t="s">
        <v>12</v>
      </c>
    </row>
    <row r="37" customFormat="false" ht="16.5" hidden="false" customHeight="true" outlineLevel="0" collapsed="false">
      <c r="A37" s="7" t="s">
        <v>50</v>
      </c>
      <c r="B37" s="11" t="n">
        <v>6000</v>
      </c>
      <c r="C37" s="9" t="s">
        <v>12</v>
      </c>
    </row>
    <row r="38" customFormat="false" ht="15" hidden="false" customHeight="true" outlineLevel="0" collapsed="false">
      <c r="A38" s="7" t="s">
        <v>51</v>
      </c>
      <c r="B38" s="16" t="n">
        <v>0.32</v>
      </c>
      <c r="C38" s="9" t="s">
        <v>12</v>
      </c>
    </row>
    <row r="39" customFormat="false" ht="15" hidden="false" customHeight="true" outlineLevel="0" collapsed="false">
      <c r="A39" s="7" t="s">
        <v>52</v>
      </c>
      <c r="B39" s="17" t="n">
        <v>0.6</v>
      </c>
      <c r="C39" s="9" t="s">
        <v>53</v>
      </c>
    </row>
    <row r="40" customFormat="false" ht="16.5" hidden="false" customHeight="true" outlineLevel="0" collapsed="false">
      <c r="A40" s="7" t="s">
        <v>54</v>
      </c>
      <c r="B40" s="15" t="n">
        <v>20</v>
      </c>
      <c r="C40" s="9" t="s">
        <v>55</v>
      </c>
    </row>
    <row r="41" customFormat="false" ht="15" hidden="false" customHeight="true" outlineLevel="0" collapsed="false">
      <c r="A41" s="7" t="s">
        <v>56</v>
      </c>
      <c r="B41" s="16" t="n">
        <v>0.1</v>
      </c>
      <c r="C41" s="9" t="s">
        <v>12</v>
      </c>
    </row>
    <row r="42" customFormat="false" ht="15" hidden="false" customHeight="true" outlineLevel="0" collapsed="false">
      <c r="A42" s="7" t="s">
        <v>57</v>
      </c>
      <c r="B42" s="17" t="n">
        <v>0.7</v>
      </c>
      <c r="C42" s="9" t="s">
        <v>58</v>
      </c>
    </row>
    <row r="43" customFormat="false" ht="15" hidden="false" customHeight="true" outlineLevel="0" collapsed="false">
      <c r="A43" s="7" t="s">
        <v>59</v>
      </c>
      <c r="B43" s="11" t="n">
        <v>60000</v>
      </c>
      <c r="C43" s="9" t="s">
        <v>60</v>
      </c>
    </row>
    <row r="44" customFormat="false" ht="16.5" hidden="false" customHeight="true" outlineLevel="0" collapsed="false">
      <c r="A44" s="7" t="s">
        <v>61</v>
      </c>
      <c r="B44" s="18" t="n">
        <f aca="false">B34+B35+B36-B33</f>
        <v>0</v>
      </c>
      <c r="C4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62"/>
  </cols>
  <sheetData>
    <row r="1" customFormat="false" ht="19.5" hidden="false" customHeight="true" outlineLevel="0" collapsed="false">
      <c r="A1" s="2" t="s">
        <v>62</v>
      </c>
      <c r="B1" s="3"/>
      <c r="C1" s="3"/>
    </row>
    <row r="2" customFormat="false" ht="15" hidden="false" customHeight="true" outlineLevel="0" collapsed="false">
      <c r="A2" s="4" t="s">
        <v>63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5" t="s">
        <v>64</v>
      </c>
      <c r="B4" s="6"/>
      <c r="C4" s="6"/>
    </row>
    <row r="5" customFormat="false" ht="15" hidden="false" customHeight="true" outlineLevel="0" collapsed="false">
      <c r="A5" s="7" t="s">
        <v>65</v>
      </c>
      <c r="B5" s="19" t="n">
        <f aca="false">前提!B5</f>
        <v>800000</v>
      </c>
      <c r="C5" s="9" t="s">
        <v>66</v>
      </c>
    </row>
    <row r="6" customFormat="false" ht="15" hidden="false" customHeight="true" outlineLevel="0" collapsed="false">
      <c r="A6" s="7" t="s">
        <v>67</v>
      </c>
      <c r="B6" s="19" t="n">
        <f aca="false">前提!B6*前提!B7</f>
        <v>750000</v>
      </c>
      <c r="C6" s="9" t="s">
        <v>66</v>
      </c>
    </row>
    <row r="7" customFormat="false" ht="15" hidden="false" customHeight="true" outlineLevel="0" collapsed="false">
      <c r="A7" s="7" t="s">
        <v>68</v>
      </c>
      <c r="B7" s="19" t="n">
        <f aca="false">前提!B8*前提!B9</f>
        <v>0</v>
      </c>
      <c r="C7" s="9" t="s">
        <v>66</v>
      </c>
    </row>
    <row r="8" customFormat="false" ht="15" hidden="false" customHeight="true" outlineLevel="0" collapsed="false">
      <c r="A8" s="7" t="s">
        <v>69</v>
      </c>
      <c r="B8" s="19" t="n">
        <f aca="false">前提!B10*前提!B11</f>
        <v>0</v>
      </c>
      <c r="C8" s="9" t="s">
        <v>70</v>
      </c>
    </row>
    <row r="9" customFormat="false" ht="15" hidden="false" customHeight="true" outlineLevel="0" collapsed="false">
      <c r="A9" s="7" t="s">
        <v>71</v>
      </c>
      <c r="B9" s="19" t="n">
        <f aca="false">IF(前提!B20=1,前提!B19,0)</f>
        <v>0</v>
      </c>
      <c r="C9" s="9" t="s">
        <v>72</v>
      </c>
    </row>
    <row r="10" customFormat="false" ht="15" hidden="false" customHeight="true" outlineLevel="0" collapsed="false">
      <c r="A10" s="20" t="s">
        <v>73</v>
      </c>
      <c r="B10" s="21" t="n">
        <f aca="false">SUM(B5:B9)</f>
        <v>1550000</v>
      </c>
      <c r="C10" s="3"/>
    </row>
    <row r="11" customFormat="false" ht="15" hidden="false" customHeight="true" outlineLevel="0" collapsed="false">
      <c r="A11" s="3"/>
      <c r="B11" s="3"/>
      <c r="C11" s="3"/>
    </row>
    <row r="12" customFormat="false" ht="15" hidden="false" customHeight="true" outlineLevel="0" collapsed="false">
      <c r="A12" s="5" t="s">
        <v>74</v>
      </c>
      <c r="B12" s="6"/>
      <c r="C12" s="6"/>
    </row>
    <row r="13" customFormat="false" ht="15" hidden="false" customHeight="true" outlineLevel="0" collapsed="false">
      <c r="A13" s="7" t="s">
        <v>75</v>
      </c>
      <c r="B13" s="19" t="n">
        <f aca="false">前提!B15</f>
        <v>400000</v>
      </c>
      <c r="C13" s="3"/>
    </row>
    <row r="14" customFormat="false" ht="15" hidden="false" customHeight="true" outlineLevel="0" collapsed="false">
      <c r="A14" s="7" t="s">
        <v>76</v>
      </c>
      <c r="B14" s="19" t="n">
        <f aca="false">前提!B16</f>
        <v>200000</v>
      </c>
      <c r="C14" s="3"/>
    </row>
    <row r="15" customFormat="false" ht="15" hidden="false" customHeight="true" outlineLevel="0" collapsed="false">
      <c r="A15" s="7" t="s">
        <v>23</v>
      </c>
      <c r="B15" s="19" t="n">
        <f aca="false">前提!B17</f>
        <v>150000</v>
      </c>
      <c r="C15" s="3"/>
    </row>
    <row r="16" customFormat="false" ht="15" hidden="false" customHeight="true" outlineLevel="0" collapsed="false">
      <c r="A16" s="7" t="s">
        <v>25</v>
      </c>
      <c r="B16" s="19" t="n">
        <f aca="false">前提!B18</f>
        <v>50000</v>
      </c>
      <c r="C16" s="3"/>
    </row>
    <row r="17" customFormat="false" ht="15" hidden="false" customHeight="true" outlineLevel="0" collapsed="false">
      <c r="A17" s="7" t="s">
        <v>77</v>
      </c>
      <c r="B17" s="19" t="n">
        <f aca="false">前提!B19</f>
        <v>300000</v>
      </c>
      <c r="C17" s="3"/>
    </row>
    <row r="18" customFormat="false" ht="15" hidden="false" customHeight="true" outlineLevel="0" collapsed="false">
      <c r="A18" s="7" t="s">
        <v>78</v>
      </c>
      <c r="B18" s="19" t="n">
        <f aca="false">前提!B21*前提!B7</f>
        <v>90000</v>
      </c>
      <c r="C18" s="3"/>
    </row>
    <row r="19" customFormat="false" ht="16.5" hidden="false" customHeight="true" outlineLevel="0" collapsed="false">
      <c r="A19" s="13" t="s">
        <v>79</v>
      </c>
      <c r="B19" s="19" t="n">
        <f aca="false">前提!B22*前提!B7</f>
        <v>60000</v>
      </c>
      <c r="C19" s="3"/>
    </row>
    <row r="20" customFormat="false" ht="15" hidden="false" customHeight="true" outlineLevel="0" collapsed="false">
      <c r="A20" s="7" t="s">
        <v>80</v>
      </c>
      <c r="B20" s="19" t="n">
        <f aca="false">前提!B10*前提!B12</f>
        <v>0</v>
      </c>
      <c r="C20" s="3"/>
    </row>
    <row r="21" customFormat="false" ht="15" hidden="false" customHeight="true" outlineLevel="0" collapsed="false">
      <c r="A21" s="7" t="s">
        <v>81</v>
      </c>
      <c r="B21" s="19" t="n">
        <f aca="false">前提!B8*前提!B23</f>
        <v>0</v>
      </c>
      <c r="C21" s="3"/>
    </row>
    <row r="22" customFormat="false" ht="15" hidden="false" customHeight="true" outlineLevel="0" collapsed="false">
      <c r="A22" s="20" t="s">
        <v>82</v>
      </c>
      <c r="B22" s="21" t="n">
        <f aca="false">SUM(B13:B21)</f>
        <v>1250000</v>
      </c>
      <c r="C22" s="3"/>
    </row>
    <row r="23" customFormat="false" ht="15" hidden="false" customHeight="true" outlineLevel="0" collapsed="false">
      <c r="A23" s="20" t="s">
        <v>83</v>
      </c>
      <c r="B23" s="21" t="n">
        <f aca="false">B10-B22</f>
        <v>300000</v>
      </c>
      <c r="C23" s="9" t="s">
        <v>84</v>
      </c>
    </row>
    <row r="24" customFormat="false" ht="15" hidden="false" customHeight="true" outlineLevel="0" collapsed="false">
      <c r="A24" s="3"/>
      <c r="B24" s="3"/>
      <c r="C24" s="3"/>
    </row>
    <row r="25" customFormat="false" ht="15" hidden="false" customHeight="true" outlineLevel="0" collapsed="false">
      <c r="A25" s="5" t="s">
        <v>85</v>
      </c>
      <c r="B25" s="6"/>
      <c r="C25" s="6"/>
    </row>
    <row r="26" customFormat="false" ht="15" hidden="false" customHeight="true" outlineLevel="0" collapsed="false">
      <c r="A26" s="7" t="s">
        <v>86</v>
      </c>
      <c r="B26" s="19" t="n">
        <f aca="false">前提!B26*前提!B27+前提!B8*前提!B30*前提!B27</f>
        <v>480000</v>
      </c>
      <c r="C26" s="9" t="s">
        <v>87</v>
      </c>
    </row>
    <row r="27" customFormat="false" ht="16.5" hidden="false" customHeight="true" outlineLevel="0" collapsed="false">
      <c r="A27" s="13" t="s">
        <v>88</v>
      </c>
      <c r="B27" s="19" t="n">
        <f aca="false">前提!B28*前提!B29</f>
        <v>250000</v>
      </c>
      <c r="C27" s="3"/>
    </row>
    <row r="28" customFormat="false" ht="15" hidden="false" customHeight="true" outlineLevel="0" collapsed="false">
      <c r="A28" s="20" t="s">
        <v>89</v>
      </c>
      <c r="B28" s="21" t="n">
        <f aca="false">B26+B27</f>
        <v>730000</v>
      </c>
      <c r="C28" s="3"/>
    </row>
    <row r="29" customFormat="false" ht="15" hidden="false" customHeight="true" outlineLevel="0" collapsed="false">
      <c r="A29" s="3"/>
      <c r="B29" s="3"/>
      <c r="C29" s="3"/>
    </row>
    <row r="30" customFormat="false" ht="15" hidden="false" customHeight="true" outlineLevel="0" collapsed="false">
      <c r="A30" s="20" t="s">
        <v>90</v>
      </c>
      <c r="B30" s="21" t="n">
        <f aca="false">B23-B28</f>
        <v>-430000</v>
      </c>
      <c r="C30" s="9" t="s">
        <v>91</v>
      </c>
    </row>
    <row r="31" customFormat="false" ht="15" hidden="false" customHeight="true" outlineLevel="0" collapsed="false">
      <c r="A31" s="7" t="s">
        <v>92</v>
      </c>
      <c r="B31" s="22" t="n">
        <f aca="false">IF(B10=0,0,B30/B10)</f>
        <v>-0.27741935483871</v>
      </c>
      <c r="C31" s="3"/>
    </row>
    <row r="32" customFormat="false" ht="16.5" hidden="false" customHeight="true" outlineLevel="0" collapsed="false">
      <c r="A32" s="7" t="s">
        <v>93</v>
      </c>
      <c r="B32" s="19" t="n">
        <f aca="false">前提!B11-前提!B12</f>
        <v>450000</v>
      </c>
      <c r="C32" s="3"/>
    </row>
    <row r="33" customFormat="false" ht="15" hidden="false" customHeight="true" outlineLevel="0" collapsed="false">
      <c r="A33" s="7" t="s">
        <v>94</v>
      </c>
      <c r="B33" s="23" t="n">
        <f aca="false">IF(B30&gt;=0,0,ROUNDUP(-B30/B32,0))</f>
        <v>1</v>
      </c>
      <c r="C33" s="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62"/>
  </cols>
  <sheetData>
    <row r="1" customFormat="false" ht="19.5" hidden="false" customHeight="true" outlineLevel="0" collapsed="false">
      <c r="A1" s="2" t="s">
        <v>96</v>
      </c>
      <c r="B1" s="3"/>
      <c r="C1" s="3"/>
    </row>
    <row r="2" customFormat="false" ht="15" hidden="false" customHeight="true" outlineLevel="0" collapsed="false">
      <c r="A2" s="4" t="s">
        <v>97</v>
      </c>
      <c r="B2" s="3"/>
      <c r="C2" s="3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5" t="s">
        <v>98</v>
      </c>
      <c r="B4" s="6"/>
      <c r="C4" s="6"/>
    </row>
    <row r="5" customFormat="false" ht="15" hidden="false" customHeight="true" outlineLevel="0" collapsed="false">
      <c r="A5" s="7" t="s">
        <v>99</v>
      </c>
      <c r="B5" s="24" t="n">
        <f aca="false">前提!B40</f>
        <v>20</v>
      </c>
      <c r="C5" s="9" t="s">
        <v>100</v>
      </c>
    </row>
    <row r="6" customFormat="false" ht="15" hidden="false" customHeight="true" outlineLevel="0" collapsed="false">
      <c r="A6" s="7" t="s">
        <v>101</v>
      </c>
      <c r="B6" s="24" t="n">
        <f aca="false">ROUND(前提!B40*前提!B41,0)</f>
        <v>2</v>
      </c>
      <c r="C6" s="3"/>
    </row>
    <row r="7" customFormat="false" ht="15" hidden="false" customHeight="true" outlineLevel="0" collapsed="false">
      <c r="A7" s="7" t="s">
        <v>102</v>
      </c>
      <c r="B7" s="23" t="n">
        <f aca="false">B5-B6</f>
        <v>18</v>
      </c>
      <c r="C7" s="9" t="s">
        <v>103</v>
      </c>
    </row>
    <row r="8" customFormat="false" ht="15" hidden="false" customHeight="true" outlineLevel="0" collapsed="false">
      <c r="A8" s="3"/>
      <c r="B8" s="3"/>
      <c r="C8" s="3"/>
    </row>
    <row r="9" customFormat="false" ht="15" hidden="false" customHeight="true" outlineLevel="0" collapsed="false">
      <c r="A9" s="5" t="s">
        <v>104</v>
      </c>
      <c r="B9" s="6"/>
      <c r="C9" s="6"/>
    </row>
    <row r="10" customFormat="false" ht="15" hidden="false" customHeight="true" outlineLevel="0" collapsed="false">
      <c r="A10" s="7" t="s">
        <v>105</v>
      </c>
      <c r="B10" s="19" t="n">
        <f aca="false">B7*前提!B33</f>
        <v>1440000</v>
      </c>
      <c r="C10" s="3"/>
    </row>
    <row r="11" customFormat="false" ht="15" hidden="false" customHeight="true" outlineLevel="0" collapsed="false">
      <c r="A11" s="7" t="s">
        <v>106</v>
      </c>
      <c r="B11" s="19" t="n">
        <f aca="false">B7*前提!B37</f>
        <v>108000</v>
      </c>
      <c r="C11" s="3"/>
    </row>
    <row r="12" customFormat="false" ht="15" hidden="false" customHeight="true" outlineLevel="0" collapsed="false">
      <c r="A12" s="7" t="s">
        <v>107</v>
      </c>
      <c r="B12" s="19" t="n">
        <f aca="false">B7*前提!B35*前提!B38</f>
        <v>138240</v>
      </c>
      <c r="C12" s="3"/>
    </row>
    <row r="13" customFormat="false" ht="15" hidden="false" customHeight="true" outlineLevel="0" collapsed="false">
      <c r="A13" s="7" t="s">
        <v>108</v>
      </c>
      <c r="B13" s="19" t="n">
        <f aca="false">B7*前提!B36*前提!B39</f>
        <v>172800</v>
      </c>
      <c r="C13" s="3"/>
    </row>
    <row r="14" customFormat="false" ht="15" hidden="false" customHeight="true" outlineLevel="0" collapsed="false">
      <c r="A14" s="20" t="s">
        <v>109</v>
      </c>
      <c r="B14" s="21" t="n">
        <f aca="false">B10-B11-B12-B13</f>
        <v>1020960</v>
      </c>
      <c r="C14" s="3"/>
    </row>
    <row r="15" customFormat="false" ht="16.5" hidden="false" customHeight="true" outlineLevel="0" collapsed="false">
      <c r="A15" s="13" t="s">
        <v>110</v>
      </c>
      <c r="B15" s="18" t="n">
        <f aca="false">IF(B7=0,0,B14/B7)</f>
        <v>56720</v>
      </c>
      <c r="C15" s="3"/>
    </row>
    <row r="16" customFormat="false" ht="16.5" hidden="false" customHeight="true" outlineLevel="0" collapsed="false">
      <c r="A16" s="7" t="s">
        <v>111</v>
      </c>
      <c r="B16" s="19" t="n">
        <f aca="false">B14*前提!B42</f>
        <v>714672</v>
      </c>
      <c r="C16" s="9" t="s">
        <v>112</v>
      </c>
    </row>
    <row r="17" customFormat="false" ht="15" hidden="false" customHeight="true" outlineLevel="0" collapsed="false">
      <c r="A17" s="3"/>
      <c r="B17" s="3"/>
      <c r="C17" s="3"/>
    </row>
    <row r="18" customFormat="false" ht="15" hidden="false" customHeight="true" outlineLevel="0" collapsed="false">
      <c r="A18" s="5" t="s">
        <v>113</v>
      </c>
      <c r="B18" s="6"/>
      <c r="C18" s="6"/>
    </row>
    <row r="19" customFormat="false" ht="15" hidden="false" customHeight="true" outlineLevel="0" collapsed="false">
      <c r="A19" s="7" t="s">
        <v>114</v>
      </c>
      <c r="B19" s="19" t="n">
        <f aca="false">アチーバー案件収支!B5+アチーバー案件収支!B6+アチーバー案件収支!B7+アチーバー案件収支!B9</f>
        <v>1550000</v>
      </c>
      <c r="C19" s="9" t="s">
        <v>115</v>
      </c>
    </row>
    <row r="20" customFormat="false" ht="15" hidden="false" customHeight="true" outlineLevel="0" collapsed="false">
      <c r="A20" s="7" t="s">
        <v>116</v>
      </c>
      <c r="B20" s="19" t="n">
        <f aca="false">前提!B43</f>
        <v>60000</v>
      </c>
      <c r="C20" s="3"/>
    </row>
    <row r="21" customFormat="false" ht="15" hidden="false" customHeight="true" outlineLevel="0" collapsed="false">
      <c r="A21" s="20" t="s">
        <v>117</v>
      </c>
      <c r="B21" s="21" t="n">
        <f aca="false">B19+B20</f>
        <v>1610000</v>
      </c>
      <c r="C21" s="3"/>
    </row>
    <row r="22" customFormat="false" ht="15" hidden="false" customHeight="true" outlineLevel="0" collapsed="false">
      <c r="A22" s="3"/>
      <c r="B22" s="3"/>
      <c r="C22" s="3"/>
    </row>
    <row r="23" customFormat="false" ht="16.5" hidden="false" customHeight="true" outlineLevel="0" collapsed="false">
      <c r="A23" s="20" t="s">
        <v>118</v>
      </c>
      <c r="B23" s="21" t="n">
        <f aca="false">B16-B21</f>
        <v>-895328</v>
      </c>
      <c r="C23" s="9" t="s">
        <v>91</v>
      </c>
    </row>
    <row r="24" customFormat="false" ht="15" hidden="false" customHeight="true" outlineLevel="0" collapsed="false">
      <c r="A24" s="7" t="s">
        <v>119</v>
      </c>
      <c r="B24" s="23" t="n">
        <f aca="false">IF(B15*前提!B42=0,0,ROUNDUP(B21/((前提!B33-前提!B37-前提!B35*前提!B38-前提!B36*前提!B39)*前提!B42),0))</f>
        <v>41</v>
      </c>
      <c r="C24" s="25" t="s">
        <v>120</v>
      </c>
    </row>
    <row r="25" customFormat="false" ht="15" hidden="false" customHeight="true" outlineLevel="0" collapsed="false">
      <c r="A25" s="7" t="s">
        <v>121</v>
      </c>
      <c r="B25" s="23" t="n">
        <f aca="false">IF(前提!B41&gt;=1,0,ROUNDUP(B24/(1-前提!B41),0))</f>
        <v>46</v>
      </c>
      <c r="C25" s="3"/>
    </row>
    <row r="26" customFormat="false" ht="15" hidden="false" customHeight="true" outlineLevel="0" collapsed="false">
      <c r="A26" s="3"/>
      <c r="B26" s="3"/>
      <c r="C26" s="3"/>
    </row>
    <row r="27" customFormat="false" ht="15" hidden="false" customHeight="true" outlineLevel="0" collapsed="false">
      <c r="A27" s="5" t="s">
        <v>122</v>
      </c>
      <c r="B27" s="6"/>
      <c r="C27" s="6"/>
    </row>
    <row r="28" customFormat="false" ht="15" hidden="false" customHeight="true" outlineLevel="0" collapsed="false">
      <c r="A28" s="7" t="s">
        <v>123</v>
      </c>
      <c r="B28" s="18" t="n">
        <f aca="false">B13</f>
        <v>172800</v>
      </c>
      <c r="C28" s="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8"/>
  </cols>
  <sheetData>
    <row r="1" customFormat="false" ht="15.75" hidden="false" customHeight="true" outlineLevel="0" collapsed="false">
      <c r="A1" s="2" t="s">
        <v>125</v>
      </c>
      <c r="B1" s="3"/>
      <c r="C1" s="3"/>
      <c r="D1" s="3"/>
      <c r="E1" s="3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6.5" hidden="false" customHeight="true" outlineLevel="0" collapsed="false">
      <c r="A3" s="20" t="s">
        <v>126</v>
      </c>
      <c r="B3" s="3"/>
      <c r="C3" s="3"/>
      <c r="D3" s="3"/>
      <c r="E3" s="3"/>
    </row>
    <row r="4" customFormat="false" ht="16.5" hidden="false" customHeight="true" outlineLevel="0" collapsed="false">
      <c r="A4" s="5" t="s">
        <v>127</v>
      </c>
      <c r="B4" s="26" t="n">
        <v>0</v>
      </c>
      <c r="C4" s="26" t="n">
        <v>1</v>
      </c>
      <c r="D4" s="26" t="n">
        <v>2</v>
      </c>
      <c r="E4" s="26" t="n">
        <v>3</v>
      </c>
    </row>
    <row r="5" customFormat="false" ht="15" hidden="false" customHeight="true" outlineLevel="0" collapsed="false">
      <c r="A5" s="27" t="s">
        <v>128</v>
      </c>
      <c r="B5" s="28" t="n">
        <f aca="false">アチーバー案件収支!$B$30-前提!$B$10*アチーバー案件収支!$B$32+B4*アチーバー案件収支!$B$32</f>
        <v>-430000</v>
      </c>
      <c r="C5" s="28" t="n">
        <f aca="false">アチーバー案件収支!$B$30-前提!$B$10*アチーバー案件収支!$B$32+C4*アチーバー案件収支!$B$32</f>
        <v>20000</v>
      </c>
      <c r="D5" s="28" t="n">
        <f aca="false">アチーバー案件収支!$B$30-前提!$B$10*アチーバー案件収支!$B$32+D4*アチーバー案件収支!$B$32</f>
        <v>470000</v>
      </c>
      <c r="E5" s="28" t="n">
        <f aca="false">アチーバー案件収支!$B$30-前提!$B$10*アチーバー案件収支!$B$32+E4*アチーバー案件収支!$B$32</f>
        <v>920000</v>
      </c>
    </row>
    <row r="6" customFormat="false" ht="15" hidden="false" customHeight="true" outlineLevel="0" collapsed="false">
      <c r="A6" s="3"/>
      <c r="B6" s="3"/>
      <c r="C6" s="3"/>
      <c r="D6" s="3"/>
      <c r="E6" s="3"/>
    </row>
    <row r="7" customFormat="false" ht="16.5" hidden="false" customHeight="true" outlineLevel="0" collapsed="false">
      <c r="A7" s="20" t="s">
        <v>129</v>
      </c>
      <c r="B7" s="3"/>
      <c r="C7" s="3"/>
      <c r="D7" s="3"/>
      <c r="E7" s="3"/>
    </row>
    <row r="8" customFormat="false" ht="16.5" hidden="false" customHeight="true" outlineLevel="0" collapsed="false">
      <c r="A8" s="5" t="s">
        <v>130</v>
      </c>
      <c r="B8" s="29" t="n">
        <v>10</v>
      </c>
      <c r="C8" s="29" t="n">
        <v>20</v>
      </c>
      <c r="D8" s="29" t="n">
        <v>40</v>
      </c>
      <c r="E8" s="29" t="n">
        <v>60</v>
      </c>
    </row>
    <row r="9" customFormat="false" ht="15" hidden="false" customHeight="true" outlineLevel="0" collapsed="false">
      <c r="A9" s="27" t="s">
        <v>131</v>
      </c>
      <c r="B9" s="28" t="n">
        <f aca="false">(B8-ROUND(B8*前提!$B$41,0))*(前提!$B$33-前提!$B$37-前提!$B$35*前提!$B$38-前提!$B$36*前提!$B$39)*前提!$B$42-施設収支!$B$21</f>
        <v>-1252664</v>
      </c>
      <c r="C9" s="28" t="n">
        <f aca="false">(C8-ROUND(C8*前提!$B$41,0))*(前提!$B$33-前提!$B$37-前提!$B$35*前提!$B$38-前提!$B$36*前提!$B$39)*前提!$B$42-施設収支!$B$21</f>
        <v>-895328</v>
      </c>
      <c r="D9" s="28" t="n">
        <f aca="false">(D8-ROUND(D8*前提!$B$41,0))*(前提!$B$33-前提!$B$37-前提!$B$35*前提!$B$38-前提!$B$36*前提!$B$39)*前提!$B$42-施設収支!$B$21</f>
        <v>-180656</v>
      </c>
      <c r="E9" s="28" t="n">
        <f aca="false">(E8-ROUND(E8*前提!$B$41,0))*(前提!$B$33-前提!$B$37-前提!$B$35*前提!$B$38-前提!$B$36*前提!$B$39)*前提!$B$42-施設収支!$B$21</f>
        <v>534016</v>
      </c>
    </row>
    <row r="10" customFormat="false" ht="15" hidden="false" customHeight="true" outlineLevel="0" collapsed="false">
      <c r="A10" s="3"/>
      <c r="B10" s="3"/>
      <c r="C10" s="3"/>
      <c r="D10" s="3"/>
      <c r="E10" s="3"/>
    </row>
    <row r="11" customFormat="false" ht="15" hidden="false" customHeight="true" outlineLevel="0" collapsed="false">
      <c r="A11" s="9" t="s">
        <v>132</v>
      </c>
      <c r="B11" s="3"/>
      <c r="C11" s="3"/>
      <c r="D11" s="3"/>
      <c r="E11" s="3"/>
    </row>
    <row r="12" customFormat="false" ht="15" hidden="false" customHeight="true" outlineLevel="0" collapsed="false">
      <c r="A12" s="9" t="s">
        <v>133</v>
      </c>
      <c r="B12" s="3"/>
      <c r="C12" s="3"/>
      <c r="D12" s="3"/>
      <c r="E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50"/>
  </cols>
  <sheetData>
    <row r="1" customFormat="false" ht="15.75" hidden="false" customHeight="true" outlineLevel="0" collapsed="false">
      <c r="A1" s="2" t="s">
        <v>134</v>
      </c>
      <c r="B1" s="3"/>
      <c r="C1" s="3"/>
      <c r="D1" s="3"/>
      <c r="E1" s="3"/>
    </row>
    <row r="2" customFormat="false" ht="15" hidden="false" customHeight="true" outlineLevel="0" collapsed="false">
      <c r="A2" s="4" t="s">
        <v>135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5" t="s">
        <v>136</v>
      </c>
      <c r="B4" s="5" t="s">
        <v>43</v>
      </c>
      <c r="C4" s="5" t="s">
        <v>137</v>
      </c>
      <c r="D4" s="5" t="s">
        <v>138</v>
      </c>
      <c r="E4" s="5" t="s">
        <v>139</v>
      </c>
    </row>
    <row r="5" customFormat="false" ht="16.5" hidden="false" customHeight="true" outlineLevel="0" collapsed="false">
      <c r="A5" s="7" t="s">
        <v>140</v>
      </c>
      <c r="B5" s="30" t="n">
        <v>12</v>
      </c>
      <c r="C5" s="19" t="n">
        <f aca="false">前提!B29</f>
        <v>5000</v>
      </c>
      <c r="D5" s="28" t="n">
        <f aca="false">B5*C5</f>
        <v>60000</v>
      </c>
      <c r="E5" s="9" t="s">
        <v>141</v>
      </c>
    </row>
    <row r="6" customFormat="false" ht="15" hidden="false" customHeight="true" outlineLevel="0" collapsed="false">
      <c r="A6" s="7" t="s">
        <v>142</v>
      </c>
      <c r="B6" s="30" t="n">
        <v>15</v>
      </c>
      <c r="C6" s="19" t="n">
        <f aca="false">前提!B27</f>
        <v>8000</v>
      </c>
      <c r="D6" s="28" t="n">
        <f aca="false">B6*C6</f>
        <v>120000</v>
      </c>
      <c r="E6" s="9" t="s">
        <v>143</v>
      </c>
    </row>
    <row r="7" customFormat="false" ht="16.5" hidden="false" customHeight="true" outlineLevel="0" collapsed="false">
      <c r="A7" s="7" t="s">
        <v>144</v>
      </c>
      <c r="B7" s="30" t="n">
        <v>8</v>
      </c>
      <c r="C7" s="19" t="n">
        <f aca="false">前提!B29</f>
        <v>5000</v>
      </c>
      <c r="D7" s="28" t="n">
        <f aca="false">B7*C7</f>
        <v>40000</v>
      </c>
      <c r="E7" s="9" t="s">
        <v>145</v>
      </c>
    </row>
    <row r="8" customFormat="false" ht="15" hidden="false" customHeight="true" outlineLevel="0" collapsed="false">
      <c r="A8" s="7" t="s">
        <v>146</v>
      </c>
      <c r="B8" s="3"/>
      <c r="C8" s="3"/>
      <c r="D8" s="11" t="n">
        <v>20000</v>
      </c>
      <c r="E8" s="9" t="s">
        <v>147</v>
      </c>
    </row>
    <row r="9" customFormat="false" ht="15" hidden="false" customHeight="true" outlineLevel="0" collapsed="false">
      <c r="A9" s="3"/>
      <c r="B9" s="3"/>
      <c r="C9" s="3"/>
      <c r="D9" s="3"/>
      <c r="E9" s="3"/>
    </row>
    <row r="10" customFormat="false" ht="15" hidden="false" customHeight="true" outlineLevel="0" collapsed="false">
      <c r="A10" s="20" t="s">
        <v>148</v>
      </c>
      <c r="B10" s="3"/>
      <c r="C10" s="3"/>
      <c r="D10" s="21" t="n">
        <f aca="false">SUM(D5:D8)</f>
        <v>240000</v>
      </c>
      <c r="E10" s="3"/>
    </row>
    <row r="11" customFormat="false" ht="15" hidden="false" customHeight="true" outlineLevel="0" collapsed="false">
      <c r="A11" s="27" t="s">
        <v>149</v>
      </c>
      <c r="B11" s="3"/>
      <c r="C11" s="3"/>
      <c r="D11" s="28" t="n">
        <f aca="false">D8</f>
        <v>20000</v>
      </c>
      <c r="E11" s="3"/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27" t="s">
        <v>150</v>
      </c>
      <c r="B13" s="3"/>
      <c r="C13" s="3"/>
      <c r="D13" s="8" t="n">
        <v>300000</v>
      </c>
      <c r="E13" s="27" t="s">
        <v>151</v>
      </c>
    </row>
    <row r="14" customFormat="false" ht="15" hidden="false" customHeight="true" outlineLevel="0" collapsed="false">
      <c r="A14" s="27" t="s">
        <v>152</v>
      </c>
      <c r="B14" s="3"/>
      <c r="C14" s="3"/>
      <c r="D14" s="8" t="n">
        <v>100000</v>
      </c>
      <c r="E14" s="3"/>
    </row>
    <row r="15" customFormat="false" ht="15" hidden="false" customHeight="true" outlineLevel="0" collapsed="false">
      <c r="A15" s="3"/>
      <c r="B15" s="3"/>
      <c r="C15" s="3"/>
      <c r="D15" s="3"/>
      <c r="E15" s="3"/>
    </row>
    <row r="16" customFormat="false" ht="15" hidden="false" customHeight="true" outlineLevel="0" collapsed="false">
      <c r="A16" s="20" t="s">
        <v>153</v>
      </c>
      <c r="B16" s="3"/>
      <c r="C16" s="3"/>
      <c r="D16" s="20" t="str">
        <f aca="false">IF(AND(D10&lt;=D13,D11&lt;=D14),"上限内","斎藤の判断が必要")</f>
        <v>上限内</v>
      </c>
      <c r="E16" s="3"/>
    </row>
    <row r="17" customFormat="false" ht="15" hidden="false" customHeight="true" outlineLevel="0" collapsed="false">
      <c r="A17" s="3"/>
      <c r="B17" s="3"/>
      <c r="C17" s="3"/>
      <c r="D17" s="3"/>
      <c r="E17" s="3"/>
    </row>
    <row r="18" customFormat="false" ht="15" hidden="false" customHeight="true" outlineLevel="0" collapsed="false">
      <c r="A18" s="20" t="s">
        <v>154</v>
      </c>
      <c r="B18" s="3"/>
      <c r="C18" s="3"/>
      <c r="D18" s="3"/>
      <c r="E18" s="3"/>
    </row>
    <row r="19" customFormat="false" ht="16.5" hidden="false" customHeight="true" outlineLevel="0" collapsed="false">
      <c r="A19" s="13" t="s">
        <v>155</v>
      </c>
      <c r="B19" s="3"/>
      <c r="C19" s="3"/>
      <c r="D19" s="3"/>
      <c r="E19" s="3"/>
    </row>
    <row r="20" customFormat="false" ht="16.5" hidden="false" customHeight="true" outlineLevel="0" collapsed="false">
      <c r="A20" s="13" t="s">
        <v>156</v>
      </c>
      <c r="B20" s="3"/>
      <c r="C20" s="3"/>
      <c r="D20" s="3"/>
      <c r="E20" s="3"/>
    </row>
    <row r="21" customFormat="false" ht="16.5" hidden="false" customHeight="true" outlineLevel="0" collapsed="false">
      <c r="A21" s="13" t="s">
        <v>157</v>
      </c>
      <c r="B21" s="3"/>
      <c r="C21" s="3"/>
      <c r="D21" s="3"/>
      <c r="E21" s="3"/>
    </row>
    <row r="22" customFormat="false" ht="16.5" hidden="false" customHeight="true" outlineLevel="0" collapsed="false">
      <c r="A22" s="13" t="s">
        <v>158</v>
      </c>
      <c r="B22" s="3"/>
      <c r="C22" s="3"/>
      <c r="D22" s="3"/>
      <c r="E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31" t="s">
        <v>159</v>
      </c>
    </row>
    <row r="2" customFormat="false" ht="15" hidden="false" customHeight="false" outlineLevel="0" collapsed="false">
      <c r="A2" s="32" t="s">
        <v>160</v>
      </c>
    </row>
    <row r="4" customFormat="false" ht="15" hidden="false" customHeight="false" outlineLevel="0" collapsed="false">
      <c r="A4" s="33" t="s">
        <v>131</v>
      </c>
      <c r="B4" s="34" t="n">
        <f aca="false">施設収支!B23</f>
        <v>-895328</v>
      </c>
    </row>
    <row r="5" customFormat="false" ht="15" hidden="false" customHeight="false" outlineLevel="0" collapsed="false">
      <c r="A5" s="33" t="s">
        <v>161</v>
      </c>
      <c r="B5" s="34" t="n">
        <f aca="false">アチーバー案件収支!B30</f>
        <v>-430000</v>
      </c>
    </row>
    <row r="6" customFormat="false" ht="15" hidden="false" customHeight="false" outlineLevel="0" collapsed="false">
      <c r="A6" s="35" t="s">
        <v>162</v>
      </c>
      <c r="B6" s="36" t="n">
        <f aca="false">B4+B5</f>
        <v>-1325328</v>
      </c>
    </row>
    <row r="7" customFormat="false" ht="17.15" hidden="false" customHeight="false" outlineLevel="0" collapsed="false">
      <c r="A7" s="37" t="s">
        <v>163</v>
      </c>
      <c r="B7" s="38" t="n">
        <f aca="false">施設収支!B7*施設収支!B15*前提!B42+前提!B10*アチーバー案件収支!B32-B9</f>
        <v>-1325328</v>
      </c>
    </row>
    <row r="8" customFormat="false" ht="17.15" hidden="false" customHeight="false" outlineLevel="0" collapsed="false">
      <c r="A8" s="39" t="s">
        <v>164</v>
      </c>
      <c r="B8" s="38" t="n">
        <f aca="false">(前提!B33-前提!B37-前提!B35*前提!B38-前提!B36*前提!B39)*前提!B42</f>
        <v>39704</v>
      </c>
    </row>
    <row r="9" customFormat="false" ht="15" hidden="false" customHeight="false" outlineLevel="0" collapsed="false">
      <c r="A9" s="37" t="s">
        <v>165</v>
      </c>
      <c r="B9" s="38" t="n">
        <f aca="false">前提!B15+前提!B16+前提!B17+前提!B18+前提!B19+(前提!B21+前提!B22)*前提!B7+アチーバー案件収支!B28-前提!B8*前提!B30*前提!B27+前提!B43</f>
        <v>2040000</v>
      </c>
    </row>
    <row r="11" customFormat="false" ht="17.15" hidden="false" customHeight="false" outlineLevel="0" collapsed="false">
      <c r="A11" s="35" t="s">
        <v>166</v>
      </c>
    </row>
    <row r="12" customFormat="false" ht="15" hidden="false" customHeight="false" outlineLevel="0" collapsed="false">
      <c r="A12" s="40" t="s">
        <v>127</v>
      </c>
      <c r="B12" s="40" t="s">
        <v>167</v>
      </c>
      <c r="C12" s="40" t="s">
        <v>168</v>
      </c>
    </row>
    <row r="13" customFormat="false" ht="17.15" hidden="false" customHeight="false" outlineLevel="0" collapsed="false">
      <c r="A13" s="41" t="n">
        <v>0</v>
      </c>
      <c r="B13" s="42" t="n">
        <f aca="false">MAX(0,ROUNDUP(($B$9-A13*アチーバー案件収支!$B$32)/$B$8,0))</f>
        <v>52</v>
      </c>
      <c r="C13" s="42" t="n">
        <f aca="false">IF(前提!$B$41&gt;=1,0,ROUNDUP(B13/(1-前提!$B$41),0))</f>
        <v>58</v>
      </c>
    </row>
    <row r="14" customFormat="false" ht="17.15" hidden="false" customHeight="false" outlineLevel="0" collapsed="false">
      <c r="A14" s="41" t="n">
        <v>1</v>
      </c>
      <c r="B14" s="42" t="n">
        <f aca="false">MAX(0,ROUNDUP(($B$9-A14*アチーバー案件収支!$B$32)/$B$8,0))</f>
        <v>41</v>
      </c>
      <c r="C14" s="42" t="n">
        <f aca="false">IF(前提!$B$41&gt;=1,0,ROUNDUP(B14/(1-前提!$B$41),0))</f>
        <v>46</v>
      </c>
    </row>
    <row r="15" customFormat="false" ht="17.15" hidden="false" customHeight="false" outlineLevel="0" collapsed="false">
      <c r="A15" s="41" t="n">
        <v>2</v>
      </c>
      <c r="B15" s="42" t="n">
        <f aca="false">MAX(0,ROUNDUP(($B$9-A15*アチーバー案件収支!$B$32)/$B$8,0))</f>
        <v>29</v>
      </c>
      <c r="C15" s="42" t="n">
        <f aca="false">IF(前提!$B$41&gt;=1,0,ROUNDUP(B15/(1-前提!$B$41),0))</f>
        <v>33</v>
      </c>
    </row>
    <row r="16" customFormat="false" ht="17.15" hidden="false" customHeight="false" outlineLevel="0" collapsed="false">
      <c r="A16" s="41" t="n">
        <v>3</v>
      </c>
      <c r="B16" s="42" t="n">
        <f aca="false">MAX(0,ROUNDUP(($B$9-A16*アチーバー案件収支!$B$32)/$B$8,0))</f>
        <v>18</v>
      </c>
      <c r="C16" s="42" t="n">
        <f aca="false">IF(前提!$B$41&gt;=1,0,ROUNDUP(B16/(1-前提!$B$41),0))</f>
        <v>20</v>
      </c>
    </row>
    <row r="18" customFormat="false" ht="17.15" hidden="false" customHeight="false" outlineLevel="0" collapsed="false">
      <c r="A18" s="35" t="s">
        <v>169</v>
      </c>
    </row>
    <row r="19" customFormat="false" ht="17.15" hidden="false" customHeight="false" outlineLevel="0" collapsed="false">
      <c r="A19" s="43" t="s">
        <v>170</v>
      </c>
      <c r="B19" s="40" t="s">
        <v>167</v>
      </c>
      <c r="C19" s="40" t="s">
        <v>168</v>
      </c>
    </row>
    <row r="20" customFormat="false" ht="15" hidden="false" customHeight="false" outlineLevel="0" collapsed="false">
      <c r="A20" s="44" t="n">
        <v>2040000</v>
      </c>
      <c r="B20" s="42" t="n">
        <f aca="false">ROUNDUP(A20/$B$8,0)</f>
        <v>52</v>
      </c>
      <c r="C20" s="42" t="n">
        <f aca="false">IF(前提!$B$41&gt;=1,0,ROUNDUP(B20/(1-前提!$B$41),0))</f>
        <v>58</v>
      </c>
    </row>
    <row r="21" customFormat="false" ht="15" hidden="false" customHeight="false" outlineLevel="0" collapsed="false">
      <c r="A21" s="44" t="n">
        <v>1500000</v>
      </c>
      <c r="B21" s="42" t="n">
        <f aca="false">ROUNDUP(A21/$B$8,0)</f>
        <v>38</v>
      </c>
      <c r="C21" s="42" t="n">
        <f aca="false">IF(前提!$B$41&gt;=1,0,ROUNDUP(B21/(1-前提!$B$41),0))</f>
        <v>43</v>
      </c>
    </row>
    <row r="22" customFormat="false" ht="15" hidden="false" customHeight="false" outlineLevel="0" collapsed="false">
      <c r="A22" s="44" t="n">
        <v>1000000</v>
      </c>
      <c r="B22" s="42" t="n">
        <f aca="false">ROUNDUP(A22/$B$8,0)</f>
        <v>26</v>
      </c>
      <c r="C22" s="42" t="n">
        <f aca="false">IF(前提!$B$41&gt;=1,0,ROUNDUP(B22/(1-前提!$B$41),0))</f>
        <v>29</v>
      </c>
    </row>
    <row r="23" customFormat="false" ht="15" hidden="false" customHeight="false" outlineLevel="0" collapsed="false">
      <c r="A23" s="44" t="n">
        <v>700000</v>
      </c>
      <c r="B23" s="42" t="n">
        <f aca="false">ROUNDUP(A23/$B$8,0)</f>
        <v>18</v>
      </c>
      <c r="C23" s="42" t="n">
        <f aca="false">IF(前提!$B$41&gt;=1,0,ROUNDUP(B23/(1-前提!$B$41),0))</f>
        <v>20</v>
      </c>
    </row>
    <row r="25" customFormat="false" ht="15" hidden="false" customHeight="false" outlineLevel="0" collapsed="false">
      <c r="A25" s="45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2026-10-04T13:14:23Z</dcterms:created>
  <dc:creator>openpyxl</dc:creator>
  <dc:description/>
  <dc:language>en-US</dc:language>
  <cp:lastModifiedBy/>
  <dcterms:modified xsi:type="dcterms:W3CDTF">2026-10-04T13:23:02Z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