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前提" sheetId="1" state="visible" r:id="rId1"/>
    <sheet name="アチーバー案件収支" sheetId="2" state="visible" r:id="rId2"/>
    <sheet name="施設収支" sheetId="3" state="visible" r:id="rId3"/>
    <sheet name="シナリオ" sheetId="4" state="visible" r:id="rId4"/>
    <sheet name="先行負担" sheetId="5" state="visible" r:id="rId5"/>
    <sheet name="共同余剰分析" sheetId="6" state="visible" r:id="rId6"/>
    <sheet name="新料金モデル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;\(#,##0\);\-"/>
    <numFmt numFmtId="165" formatCode="0.0%;\(0.0%\);\-"/>
    <numFmt numFmtId="166" formatCode="&quot;協賛&quot;0\社"/>
    <numFmt numFmtId="167" formatCode="0\件"/>
    <numFmt numFmtId="168" formatCode="0\社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Arial"/>
      <charset val="1"/>
      <family val="0"/>
      <color theme="1"/>
      <sz val="11"/>
    </font>
    <font>
      <name val="Noto Sans CJK SC"/>
      <charset val="1"/>
      <family val="2"/>
      <b val="1"/>
      <color rgb="FFC00000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Noto Sans CJK SC"/>
      <charset val="1"/>
      <family val="2"/>
      <color rgb="FF555555"/>
      <sz val="9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  <font>
      <name val="Noto Sans CJK SC"/>
      <family val="2"/>
      <color rgb="FF555555"/>
      <sz val="9"/>
    </font>
    <font>
      <name val="Noto Sans CJK SC"/>
      <charset val="1"/>
      <family val="2"/>
      <color theme="1"/>
      <sz val="11"/>
    </font>
    <font>
      <name val="Noto Sans CJK SC"/>
      <family val="2"/>
      <b val="1"/>
      <sz val="13"/>
    </font>
    <font>
      <name val="Noto Sans CJK SC"/>
      <family val="2"/>
      <b val="1"/>
      <color rgb="FFC00000"/>
      <sz val="11"/>
    </font>
    <font>
      <name val="Noto Sans CJK SC"/>
      <family val="2"/>
      <color rgb="FF008000"/>
      <sz val="11"/>
    </font>
    <font>
      <name val="Noto Sans CJK SC"/>
      <family val="2"/>
      <b val="1"/>
      <sz val="11"/>
    </font>
    <font>
      <b val="1"/>
      <sz val="13"/>
    </font>
    <font>
      <b val="1"/>
    </font>
    <font>
      <color rgb="FF0000FF"/>
    </font>
    <font>
      <i val="1"/>
    </font>
  </fonts>
  <fills count="4">
    <fill>
      <patternFill/>
    </fill>
    <fill>
      <patternFill patternType="gray125"/>
    </fill>
    <fill>
      <patternFill patternType="solid">
        <fgColor rgb="FFDDE3EE"/>
        <bgColor rgb="FFCCFFFF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" fontId="9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2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7" fontId="9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2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" fontId="9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2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7" fontId="9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1" fillId="2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9" fontId="24" fillId="0" borderId="0" pivotButton="0" quotePrefix="0" xfId="0"/>
    <xf numFmtId="3" fontId="0" fillId="0" borderId="0" pivotButton="0" quotePrefix="0" xfId="0"/>
    <xf numFmtId="3" fontId="23" fillId="0" borderId="0" pivotButton="0" quotePrefix="0" xfId="0"/>
    <xf numFmtId="1" fontId="0" fillId="0" borderId="0" pivotButton="0" quotePrefix="0" xfId="0"/>
    <xf numFmtId="0" fontId="2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46" min="1" max="1"/>
    <col width="16" customWidth="1" style="46" min="2" max="2"/>
    <col width="70" customWidth="1" style="46" min="3" max="3"/>
  </cols>
  <sheetData>
    <row r="1" ht="19.5" customHeight="1" s="47">
      <c r="A1" s="48" t="inlineStr">
        <is>
          <t>夢プロ 初回実証（ホテル1施設・1商品・90日）採算モデル ― 前提条件</t>
        </is>
      </c>
      <c r="B1" s="49" t="n"/>
      <c r="C1" s="49" t="n"/>
    </row>
    <row r="2" ht="16.5" customHeight="1" s="47">
      <c r="A2" s="50" t="inlineStr">
        <is>
          <t>すべて仮定の数字です（実績・見積・売上予測ではありません）。青字=入力値、黄色=特に未確定で影響が大きい値。金額は税抜・円。</t>
        </is>
      </c>
      <c r="B2" s="49" t="n"/>
      <c r="C2" s="49" t="n"/>
    </row>
    <row r="3" ht="15" customHeight="1" s="47">
      <c r="A3" s="49" t="n"/>
      <c r="B3" s="49" t="n"/>
      <c r="C3" s="49" t="n"/>
    </row>
    <row r="4" ht="15" customHeight="1" s="47">
      <c r="A4" s="51" t="inlineStr">
        <is>
          <t>アチーバーの収入（施設・スポンサーから受領）</t>
        </is>
      </c>
      <c r="B4" s="52" t="n"/>
      <c r="C4" s="52" t="n"/>
    </row>
    <row r="5" ht="15" customHeight="1" s="47">
      <c r="A5" s="53" t="inlineStr">
        <is>
          <t>企画運営費（初期一括）</t>
        </is>
      </c>
      <c r="B5" s="54" t="n">
        <v>800000</v>
      </c>
      <c r="C5" s="55" t="inlineStr">
        <is>
          <t>仮定。商品設計・撮影段取り・紹介ページ・予約連携設計まで</t>
        </is>
      </c>
    </row>
    <row r="6" ht="16.5" customHeight="1" s="47">
      <c r="A6" s="53" t="inlineStr">
        <is>
          <t>月額運営料（1か月）</t>
        </is>
      </c>
      <c r="B6" s="54" t="n">
        <v>250000</v>
      </c>
      <c r="C6" s="55" t="inlineStr">
        <is>
          <t>仮定。発信運用・問い合わせ補助・週次集計・月次報告</t>
        </is>
      </c>
    </row>
    <row r="7" ht="15" customHeight="1" s="47">
      <c r="A7" s="53" t="inlineStr">
        <is>
          <t>運営月数</t>
        </is>
      </c>
      <c r="B7" s="56" t="n">
        <v>3</v>
      </c>
      <c r="C7" s="55" t="inlineStr">
        <is>
          <t>初回実証期間</t>
        </is>
      </c>
    </row>
    <row r="8" ht="15" customHeight="1" s="47">
      <c r="A8" s="53" t="inlineStr">
        <is>
          <t>個別案件費 件数</t>
        </is>
      </c>
      <c r="B8" s="56" t="n">
        <v>0</v>
      </c>
      <c r="C8" s="55" t="inlineStr">
        <is>
          <t>追加動画・季節差し替え等。基本ケースは0件</t>
        </is>
      </c>
    </row>
    <row r="9" ht="15" customHeight="1" s="47">
      <c r="A9" s="53" t="inlineStr">
        <is>
          <t>個別案件費 単価</t>
        </is>
      </c>
      <c r="B9" s="57" t="n">
        <v>150000</v>
      </c>
      <c r="C9" s="55" t="inlineStr">
        <is>
          <t>仮定</t>
        </is>
      </c>
    </row>
    <row r="10" ht="15" customHeight="1" s="47">
      <c r="A10" s="53" t="inlineStr">
        <is>
          <t>協賛 社数</t>
        </is>
      </c>
      <c r="B10" s="58" t="n">
        <v>0</v>
      </c>
      <c r="C10" s="55" t="inlineStr">
        <is>
          <t>基本ケースは0社（未獲得のため）。シナリオシートで1〜2社を試算</t>
        </is>
      </c>
    </row>
    <row r="11" ht="16.5" customHeight="1" s="47">
      <c r="A11" s="53" t="inlineStr">
        <is>
          <t>協賛 単価（1社）</t>
        </is>
      </c>
      <c r="B11" s="54" t="n">
        <v>500000</v>
      </c>
      <c r="C11" s="55" t="inlineStr">
        <is>
          <t>仮定。協賛商品「体験提供＋動画内紹介＋ページ掲載」</t>
        </is>
      </c>
    </row>
    <row r="12" ht="16.5" customHeight="1" s="47">
      <c r="A12" s="53" t="inlineStr">
        <is>
          <t>協賛履行の追加原価（1社）</t>
        </is>
      </c>
      <c r="B12" s="57" t="n">
        <v>50000</v>
      </c>
      <c r="C12" s="55" t="inlineStr">
        <is>
          <t>紹介カット追加撮影・編集など</t>
        </is>
      </c>
    </row>
    <row r="13" ht="15" customHeight="1" s="47">
      <c r="A13" s="49" t="n"/>
      <c r="B13" s="49" t="n"/>
      <c r="C13" s="49" t="n"/>
    </row>
    <row r="14" ht="15" customHeight="1" s="47">
      <c r="A14" s="51" t="inlineStr">
        <is>
          <t>アチーバーの外部支出（キャッシュアウト）</t>
        </is>
      </c>
      <c r="B14" s="52" t="n"/>
      <c r="C14" s="52" t="n"/>
    </row>
    <row r="15" ht="15" customHeight="1" s="47">
      <c r="A15" s="53" t="inlineStr">
        <is>
          <t>出演費（体験出演・発信 一式）</t>
        </is>
      </c>
      <c r="B15" s="54" t="n">
        <v>400000</v>
      </c>
      <c r="C15" s="55" t="inlineStr">
        <is>
          <t>仮定。鈴木優香さんの参加・金額・投稿条件は未確定</t>
        </is>
      </c>
    </row>
    <row r="16" ht="16.5" customHeight="1" s="47">
      <c r="A16" s="53" t="inlineStr">
        <is>
          <t>撮影費（外部撮影 1日）</t>
        </is>
      </c>
      <c r="B16" s="57" t="n">
        <v>200000</v>
      </c>
      <c r="C16" s="55" t="inlineStr">
        <is>
          <t>仮定</t>
        </is>
      </c>
    </row>
    <row r="17" ht="15" customHeight="1" s="47">
      <c r="A17" s="53" t="inlineStr">
        <is>
          <t>編集外注費</t>
        </is>
      </c>
      <c r="B17" s="57" t="n">
        <v>150000</v>
      </c>
      <c r="C17" s="55" t="inlineStr">
        <is>
          <t>仮定。短尺動画の仕上げ。AIチームは下書き・切り出し補助</t>
        </is>
      </c>
    </row>
    <row r="18" ht="15" customHeight="1" s="47">
      <c r="A18" s="53" t="inlineStr">
        <is>
          <t>交通費</t>
        </is>
      </c>
      <c r="B18" s="57" t="n">
        <v>50000</v>
      </c>
      <c r="C18" s="55" t="inlineStr">
        <is>
          <t>仮定。施設の所在地で大きく変動</t>
        </is>
      </c>
    </row>
    <row r="19" ht="16.5" customHeight="1" s="47">
      <c r="A19" s="53" t="inlineStr">
        <is>
          <t>広告費（90日合計）</t>
        </is>
      </c>
      <c r="B19" s="54" t="n">
        <v>300000</v>
      </c>
      <c r="C19" s="55" t="inlineStr">
        <is>
          <t>仮定。SNS広告の配信費</t>
        </is>
      </c>
    </row>
    <row r="20" ht="16.5" customHeight="1" s="47">
      <c r="A20" s="53" t="inlineStr">
        <is>
          <t>広告費の扱い（1=施設が実費負担 / 0=アチーバー負担）</t>
        </is>
      </c>
      <c r="B20" s="58" t="n">
        <v>0</v>
      </c>
      <c r="C20" s="55" t="inlineStr">
        <is>
          <t>基本ケースはアチーバー負担（保守的）</t>
        </is>
      </c>
    </row>
    <row r="21" ht="15" customHeight="1" s="47">
      <c r="A21" s="53" t="inlineStr">
        <is>
          <t>システム費（月額）</t>
        </is>
      </c>
      <c r="B21" s="57" t="n">
        <v>30000</v>
      </c>
      <c r="C21" s="55" t="inlineStr">
        <is>
          <t>紹介ページ・計測ツール・ドメイン等</t>
        </is>
      </c>
    </row>
    <row r="22" ht="16.5" customHeight="1" s="47">
      <c r="A22" s="59" t="inlineStr">
        <is>
          <t>AIツール利用料（月額）</t>
        </is>
      </c>
      <c r="B22" s="57" t="n">
        <v>20000</v>
      </c>
      <c r="C22" s="55" t="inlineStr">
        <is>
          <t>仮定</t>
        </is>
      </c>
    </row>
    <row r="23" ht="16.5" customHeight="1" s="47">
      <c r="A23" s="53" t="inlineStr">
        <is>
          <t>個別案件 1件あたり外部原価</t>
        </is>
      </c>
      <c r="B23" s="57" t="n">
        <v>50000</v>
      </c>
      <c r="C23" s="55" t="inlineStr">
        <is>
          <t>仮定</t>
        </is>
      </c>
    </row>
    <row r="24" ht="15" customHeight="1" s="47">
      <c r="A24" s="49" t="n"/>
      <c r="B24" s="49" t="n"/>
      <c r="C24" s="49" t="n"/>
    </row>
    <row r="25" ht="16.5" customHeight="1" s="47">
      <c r="A25" s="51" t="inlineStr">
        <is>
          <t>社内作業費（工数×単価。キャッシュではなく機会費用として計上）</t>
        </is>
      </c>
      <c r="B25" s="52" t="n"/>
      <c r="C25" s="52" t="n"/>
    </row>
    <row r="26" ht="15" customHeight="1" s="47">
      <c r="A26" s="53" t="inlineStr">
        <is>
          <t>人の作業時間（営業・提案・契約調整・進行・確認）</t>
        </is>
      </c>
      <c r="B26" s="60" t="n">
        <v>60</v>
      </c>
      <c r="C26" s="55" t="inlineStr">
        <is>
          <t>時間。選考・交渉・公開確認・契約判断は人が行う</t>
        </is>
      </c>
    </row>
    <row r="27" ht="15" customHeight="1" s="47">
      <c r="A27" s="53" t="inlineStr">
        <is>
          <t>人の時間単価</t>
        </is>
      </c>
      <c r="B27" s="57" t="n">
        <v>8000</v>
      </c>
      <c r="C27" s="55" t="inlineStr">
        <is>
          <t>仮定</t>
        </is>
      </c>
    </row>
    <row r="28" ht="16.5" customHeight="1" s="47">
      <c r="A28" s="59" t="inlineStr">
        <is>
          <t>AIチーム作業時間（人による確認・修正を含む）</t>
        </is>
      </c>
      <c r="B28" s="61" t="n">
        <v>50</v>
      </c>
      <c r="C28" s="55" t="inlineStr">
        <is>
          <t>時間。AIチームの処理能力は未実証のため、時間短縮を見込まず計上</t>
        </is>
      </c>
    </row>
    <row r="29" ht="16.5" customHeight="1" s="47">
      <c r="A29" s="59" t="inlineStr">
        <is>
          <t>AIチーム時間単価</t>
        </is>
      </c>
      <c r="B29" s="57" t="n">
        <v>5000</v>
      </c>
      <c r="C29" s="55" t="inlineStr">
        <is>
          <t>仮定</t>
        </is>
      </c>
    </row>
    <row r="30" ht="16.5" customHeight="1" s="47">
      <c r="A30" s="53" t="inlineStr">
        <is>
          <t>個別案件 1件あたり人の作業時間</t>
        </is>
      </c>
      <c r="B30" s="60" t="n">
        <v>8</v>
      </c>
      <c r="C30" s="55" t="inlineStr">
        <is>
          <t>時間</t>
        </is>
      </c>
    </row>
    <row r="31" ht="15" customHeight="1" s="47">
      <c r="A31" s="49" t="n"/>
      <c r="B31" s="49" t="n"/>
      <c r="C31" s="49" t="n"/>
    </row>
    <row r="32" ht="15" customHeight="1" s="47">
      <c r="A32" s="51" t="inlineStr">
        <is>
          <t>施設側（ホテル）</t>
        </is>
      </c>
      <c r="B32" s="52" t="n"/>
      <c r="C32" s="52" t="n"/>
    </row>
    <row r="33" ht="16.5" customHeight="1" s="47">
      <c r="A33" s="53" t="inlineStr">
        <is>
          <t>プラン販売価格（1室2名・税抜）</t>
        </is>
      </c>
      <c r="B33" s="54" t="n">
        <v>80000</v>
      </c>
      <c r="C33" s="55" t="inlineStr">
        <is>
          <t>仮定。宿泊＋夕朝食＋スパ</t>
        </is>
      </c>
    </row>
    <row r="34" ht="15" customHeight="1" s="47">
      <c r="A34" s="53" t="inlineStr">
        <is>
          <t xml:space="preserve">　うち客室</t>
        </is>
      </c>
      <c r="B34" s="57" t="n">
        <v>40000</v>
      </c>
      <c r="C34" s="55" t="inlineStr">
        <is>
          <t>仮定</t>
        </is>
      </c>
    </row>
    <row r="35" ht="15" customHeight="1" s="47">
      <c r="A35" s="53" t="inlineStr">
        <is>
          <t xml:space="preserve">　うち食事</t>
        </is>
      </c>
      <c r="B35" s="57" t="n">
        <v>24000</v>
      </c>
      <c r="C35" s="55" t="inlineStr">
        <is>
          <t>仮定</t>
        </is>
      </c>
    </row>
    <row r="36" ht="15" customHeight="1" s="47">
      <c r="A36" s="53" t="inlineStr">
        <is>
          <t xml:space="preserve">　うちスパ</t>
        </is>
      </c>
      <c r="B36" s="57" t="n">
        <v>16000</v>
      </c>
      <c r="C36" s="55" t="inlineStr">
        <is>
          <t>仮定</t>
        </is>
      </c>
    </row>
    <row r="37" ht="16.5" customHeight="1" s="47">
      <c r="A37" s="53" t="inlineStr">
        <is>
          <t>客室変動費（1室：清掃・リネン・アメニティ）</t>
        </is>
      </c>
      <c r="B37" s="57" t="n">
        <v>6000</v>
      </c>
      <c r="C37" s="55" t="inlineStr">
        <is>
          <t>仮定</t>
        </is>
      </c>
    </row>
    <row r="38" ht="15" customHeight="1" s="47">
      <c r="A38" s="53" t="inlineStr">
        <is>
          <t>食事原価率</t>
        </is>
      </c>
      <c r="B38" s="62" t="n">
        <v>0.32</v>
      </c>
      <c r="C38" s="55" t="inlineStr">
        <is>
          <t>仮定</t>
        </is>
      </c>
    </row>
    <row r="39" ht="15" customHeight="1" s="47">
      <c r="A39" s="53" t="inlineStr">
        <is>
          <t>スパ原価率（施設→クレドへの施術料の比率）</t>
        </is>
      </c>
      <c r="B39" s="63" t="n">
        <v>0.6</v>
      </c>
      <c r="C39" s="55" t="inlineStr">
        <is>
          <t>仮定。クレドと施設の契約形態は未確定</t>
        </is>
      </c>
    </row>
    <row r="40" ht="16.5" customHeight="1" s="47">
      <c r="A40" s="53" t="inlineStr">
        <is>
          <t>識別できた予約完了数（90日）</t>
        </is>
      </c>
      <c r="B40" s="61" t="n">
        <v>20</v>
      </c>
      <c r="C40" s="55" t="inlineStr">
        <is>
          <t>仮定の入力値。予測ではない。専用プランコードで識別できた件数</t>
        </is>
      </c>
    </row>
    <row r="41" ht="15" customHeight="1" s="47">
      <c r="A41" s="53" t="inlineStr">
        <is>
          <t>キャンセル率</t>
        </is>
      </c>
      <c r="B41" s="62" t="n">
        <v>0.1</v>
      </c>
      <c r="C41" s="55" t="inlineStr">
        <is>
          <t>仮定</t>
        </is>
      </c>
    </row>
    <row r="42" ht="15" customHeight="1" s="47">
      <c r="A42" s="53" t="inlineStr">
        <is>
          <t>増分率（この施策がなければ発生しなかった予約の割合）</t>
        </is>
      </c>
      <c r="B42" s="63" t="n">
        <v>0.7</v>
      </c>
      <c r="C42" s="55" t="inlineStr">
        <is>
          <t>仮定。既存客の振替を差し引くための係数</t>
        </is>
      </c>
    </row>
    <row r="43" ht="15" customHeight="1" s="47">
      <c r="A43" s="53" t="inlineStr">
        <is>
          <t>施設の撮影協力原価（撮影時の宿泊・食事・スパ提供）</t>
        </is>
      </c>
      <c r="B43" s="57" t="n">
        <v>60000</v>
      </c>
      <c r="C43" s="55" t="inlineStr">
        <is>
          <t>仮定。施設の原価ベース</t>
        </is>
      </c>
    </row>
    <row r="44" ht="16.5" customHeight="1" s="47">
      <c r="A44" s="53" t="inlineStr">
        <is>
          <t>内訳チェック（客室＋食事＋スパ − 販売価格。0であること）</t>
        </is>
      </c>
      <c r="B44" s="64">
        <f>B34+B35+B36-B33</f>
        <v/>
      </c>
      <c r="C44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46" min="1" max="1"/>
    <col width="16" customWidth="1" style="46" min="2" max="2"/>
    <col width="62" customWidth="1" style="46" min="3" max="3"/>
  </cols>
  <sheetData>
    <row r="1" ht="19.5" customHeight="1" s="47">
      <c r="A1" s="48" t="inlineStr">
        <is>
          <t>アチーバー側 案件収支（初回90日）</t>
        </is>
      </c>
      <c r="B1" s="49" t="n"/>
      <c r="C1" s="49" t="n"/>
    </row>
    <row r="2" ht="15" customHeight="1" s="47">
      <c r="A2" s="50" t="inlineStr">
        <is>
          <t>仮定の数字による試算。施設の売上・利益とは別勘定。総売上を利益や分配原資として扱わない。</t>
        </is>
      </c>
      <c r="B2" s="49" t="n"/>
      <c r="C2" s="49" t="n"/>
    </row>
    <row r="3" ht="15" customHeight="1" s="47">
      <c r="A3" s="49" t="n"/>
      <c r="B3" s="49" t="n"/>
      <c r="C3" s="49" t="n"/>
    </row>
    <row r="4" ht="15" customHeight="1" s="47">
      <c r="A4" s="51" t="inlineStr">
        <is>
          <t>収入</t>
        </is>
      </c>
      <c r="B4" s="52" t="n"/>
      <c r="C4" s="52" t="n"/>
    </row>
    <row r="5" ht="15" customHeight="1" s="47">
      <c r="A5" s="53" t="inlineStr">
        <is>
          <t>企画運営費</t>
        </is>
      </c>
      <c r="B5" s="65">
        <f>前提!B5</f>
        <v/>
      </c>
      <c r="C5" s="55" t="inlineStr">
        <is>
          <t>施設から</t>
        </is>
      </c>
    </row>
    <row r="6" ht="15" customHeight="1" s="47">
      <c r="A6" s="53" t="inlineStr">
        <is>
          <t>月額運営料</t>
        </is>
      </c>
      <c r="B6" s="65">
        <f>前提!B6*前提!B7</f>
        <v/>
      </c>
      <c r="C6" s="55" t="inlineStr">
        <is>
          <t>施設から</t>
        </is>
      </c>
    </row>
    <row r="7" ht="15" customHeight="1" s="47">
      <c r="A7" s="53" t="inlineStr">
        <is>
          <t>個別案件費</t>
        </is>
      </c>
      <c r="B7" s="65">
        <f>前提!B8*前提!B9</f>
        <v/>
      </c>
      <c r="C7" s="55" t="inlineStr">
        <is>
          <t>施設から</t>
        </is>
      </c>
    </row>
    <row r="8" ht="15" customHeight="1" s="47">
      <c r="A8" s="53" t="inlineStr">
        <is>
          <t>協賛売上</t>
        </is>
      </c>
      <c r="B8" s="65">
        <f>前提!B10*前提!B11</f>
        <v/>
      </c>
      <c r="C8" s="55" t="inlineStr">
        <is>
          <t>スポンサーから</t>
        </is>
      </c>
    </row>
    <row r="9" ht="15" customHeight="1" s="47">
      <c r="A9" s="53" t="inlineStr">
        <is>
          <t>広告費の実費請求</t>
        </is>
      </c>
      <c r="B9" s="65">
        <f>IF(前提!B20=1,前提!B19,0)</f>
        <v/>
      </c>
      <c r="C9" s="55" t="inlineStr">
        <is>
          <t>施設負担の場合のみ（同額を支出にも計上）</t>
        </is>
      </c>
    </row>
    <row r="10" ht="15" customHeight="1" s="47">
      <c r="A10" s="66" t="inlineStr">
        <is>
          <t>収入合計</t>
        </is>
      </c>
      <c r="B10" s="67">
        <f>SUM(B5:B9)</f>
        <v/>
      </c>
      <c r="C10" s="49" t="n"/>
    </row>
    <row r="11" ht="15" customHeight="1" s="47">
      <c r="A11" s="49" t="n"/>
      <c r="B11" s="49" t="n"/>
      <c r="C11" s="49" t="n"/>
    </row>
    <row r="12" ht="15" customHeight="1" s="47">
      <c r="A12" s="51" t="inlineStr">
        <is>
          <t>外部支出</t>
        </is>
      </c>
      <c r="B12" s="52" t="n"/>
      <c r="C12" s="52" t="n"/>
    </row>
    <row r="13" ht="15" customHeight="1" s="47">
      <c r="A13" s="53" t="inlineStr">
        <is>
          <t>出演費</t>
        </is>
      </c>
      <c r="B13" s="65">
        <f>前提!B15</f>
        <v/>
      </c>
      <c r="C13" s="49" t="n"/>
    </row>
    <row r="14" ht="15" customHeight="1" s="47">
      <c r="A14" s="53" t="inlineStr">
        <is>
          <t>撮影費</t>
        </is>
      </c>
      <c r="B14" s="65">
        <f>前提!B16</f>
        <v/>
      </c>
      <c r="C14" s="49" t="n"/>
    </row>
    <row r="15" ht="15" customHeight="1" s="47">
      <c r="A15" s="53" t="inlineStr">
        <is>
          <t>編集外注費</t>
        </is>
      </c>
      <c r="B15" s="65">
        <f>前提!B17</f>
        <v/>
      </c>
      <c r="C15" s="49" t="n"/>
    </row>
    <row r="16" ht="15" customHeight="1" s="47">
      <c r="A16" s="53" t="inlineStr">
        <is>
          <t>交通費</t>
        </is>
      </c>
      <c r="B16" s="65">
        <f>前提!B18</f>
        <v/>
      </c>
      <c r="C16" s="49" t="n"/>
    </row>
    <row r="17" ht="15" customHeight="1" s="47">
      <c r="A17" s="53" t="inlineStr">
        <is>
          <t>広告費</t>
        </is>
      </c>
      <c r="B17" s="65">
        <f>前提!B19</f>
        <v/>
      </c>
      <c r="C17" s="49" t="n"/>
    </row>
    <row r="18" ht="15" customHeight="1" s="47">
      <c r="A18" s="53" t="inlineStr">
        <is>
          <t>システム費</t>
        </is>
      </c>
      <c r="B18" s="65">
        <f>前提!B21*前提!B7</f>
        <v/>
      </c>
      <c r="C18" s="49" t="n"/>
    </row>
    <row r="19" ht="16.5" customHeight="1" s="47">
      <c r="A19" s="59" t="inlineStr">
        <is>
          <t>AIツール利用料</t>
        </is>
      </c>
      <c r="B19" s="65">
        <f>前提!B22*前提!B7</f>
        <v/>
      </c>
      <c r="C19" s="49" t="n"/>
    </row>
    <row r="20" ht="15" customHeight="1" s="47">
      <c r="A20" s="53" t="inlineStr">
        <is>
          <t>協賛履行の追加原価</t>
        </is>
      </c>
      <c r="B20" s="65">
        <f>前提!B10*前提!B12</f>
        <v/>
      </c>
      <c r="C20" s="49" t="n"/>
    </row>
    <row r="21" ht="15" customHeight="1" s="47">
      <c r="A21" s="53" t="inlineStr">
        <is>
          <t>個別案件の外部原価</t>
        </is>
      </c>
      <c r="B21" s="65">
        <f>前提!B8*前提!B23</f>
        <v/>
      </c>
      <c r="C21" s="49" t="n"/>
    </row>
    <row r="22" ht="15" customHeight="1" s="47">
      <c r="A22" s="66" t="inlineStr">
        <is>
          <t>外部支出合計</t>
        </is>
      </c>
      <c r="B22" s="67">
        <f>SUM(B13:B21)</f>
        <v/>
      </c>
      <c r="C22" s="49" t="n"/>
    </row>
    <row r="23" ht="15" customHeight="1" s="47">
      <c r="A23" s="66" t="inlineStr">
        <is>
          <t>現金ベースの粗利（収入−外部支出）</t>
        </is>
      </c>
      <c r="B23" s="67">
        <f>B10-B22</f>
        <v/>
      </c>
      <c r="C23" s="55" t="inlineStr">
        <is>
          <t>キャッシュが残るかの判定</t>
        </is>
      </c>
    </row>
    <row r="24" ht="15" customHeight="1" s="47">
      <c r="A24" s="49" t="n"/>
      <c r="B24" s="49" t="n"/>
      <c r="C24" s="49" t="n"/>
    </row>
    <row r="25" ht="15" customHeight="1" s="47">
      <c r="A25" s="51" t="inlineStr">
        <is>
          <t>社内作業費</t>
        </is>
      </c>
      <c r="B25" s="52" t="n"/>
      <c r="C25" s="52" t="n"/>
    </row>
    <row r="26" ht="15" customHeight="1" s="47">
      <c r="A26" s="53" t="inlineStr">
        <is>
          <t>人の作業費</t>
        </is>
      </c>
      <c r="B26" s="65">
        <f>前提!B26*前提!B27+前提!B8*前提!B30*前提!B27</f>
        <v/>
      </c>
      <c r="C26" s="55" t="inlineStr">
        <is>
          <t>基本工数＋個別案件分</t>
        </is>
      </c>
    </row>
    <row r="27" ht="16.5" customHeight="1" s="47">
      <c r="A27" s="59" t="inlineStr">
        <is>
          <t>AIチーム作業費</t>
        </is>
      </c>
      <c r="B27" s="65">
        <f>前提!B28*前提!B29</f>
        <v/>
      </c>
      <c r="C27" s="49" t="n"/>
    </row>
    <row r="28" ht="15" customHeight="1" s="47">
      <c r="A28" s="66" t="inlineStr">
        <is>
          <t>作業費合計</t>
        </is>
      </c>
      <c r="B28" s="67">
        <f>B26+B27</f>
        <v/>
      </c>
      <c r="C28" s="49" t="n"/>
    </row>
    <row r="29" ht="15" customHeight="1" s="47">
      <c r="A29" s="49" t="n"/>
      <c r="B29" s="49" t="n"/>
      <c r="C29" s="49" t="n"/>
    </row>
    <row r="30" ht="15" customHeight="1" s="47">
      <c r="A30" s="66" t="inlineStr">
        <is>
          <t>案件利益（工数込み）</t>
        </is>
      </c>
      <c r="B30" s="67">
        <f>B23-B28</f>
        <v/>
      </c>
      <c r="C30" s="55" t="inlineStr">
        <is>
          <t>継続判断に使う利益</t>
        </is>
      </c>
    </row>
    <row r="31" ht="15" customHeight="1" s="47">
      <c r="A31" s="53" t="inlineStr">
        <is>
          <t>案件利益率</t>
        </is>
      </c>
      <c r="B31" s="68">
        <f>IF(B10=0,0,B30/B10)</f>
        <v/>
      </c>
      <c r="C31" s="49" t="n"/>
    </row>
    <row r="32" ht="16.5" customHeight="1" s="47">
      <c r="A32" s="53" t="inlineStr">
        <is>
          <t>協賛1社あたりの利益寄与</t>
        </is>
      </c>
      <c r="B32" s="65">
        <f>前提!B11-前提!B12</f>
        <v/>
      </c>
      <c r="C32" s="49" t="n"/>
    </row>
    <row r="33" ht="15" customHeight="1" s="47">
      <c r="A33" s="53" t="inlineStr">
        <is>
          <t>工数込み黒字に必要な協賛社数</t>
        </is>
      </c>
      <c r="B33" s="69">
        <f>IF(B30&gt;=0,0,ROUNDUP(-B30/B32,0))</f>
        <v/>
      </c>
      <c r="C33" s="55" t="inlineStr">
        <is>
          <t>協賛以外の条件は現状のまま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46" min="1" max="1"/>
    <col width="16" customWidth="1" style="46" min="2" max="2"/>
    <col width="62" customWidth="1" style="46" min="3" max="3"/>
  </cols>
  <sheetData>
    <row r="1" ht="19.5" customHeight="1" s="47">
      <c r="A1" s="48" t="inlineStr">
        <is>
          <t>施設側 収支（初回90日・本プラン分のみ）</t>
        </is>
      </c>
      <c r="B1" s="49" t="n"/>
      <c r="C1" s="49" t="n"/>
    </row>
    <row r="2" ht="15" customHeight="1" s="47">
      <c r="A2" s="50" t="inlineStr">
        <is>
          <t>仮定の数字による試算。予約数は入力値であり予測ではない。売上は利用完了ベース。</t>
        </is>
      </c>
      <c r="B2" s="49" t="n"/>
      <c r="C2" s="49" t="n"/>
    </row>
    <row r="3" ht="15" customHeight="1" s="47">
      <c r="A3" s="49" t="n"/>
      <c r="B3" s="49" t="n"/>
      <c r="C3" s="49" t="n"/>
    </row>
    <row r="4" ht="15" customHeight="1" s="47">
      <c r="A4" s="51" t="inlineStr">
        <is>
          <t>件数</t>
        </is>
      </c>
      <c r="B4" s="52" t="n"/>
      <c r="C4" s="52" t="n"/>
    </row>
    <row r="5" ht="15" customHeight="1" s="47">
      <c r="A5" s="53" t="inlineStr">
        <is>
          <t>識別できた予約完了</t>
        </is>
      </c>
      <c r="B5" s="70">
        <f>前提!B40</f>
        <v/>
      </c>
      <c r="C5" s="55" t="inlineStr">
        <is>
          <t>専用プランコードで識別。識別できない予約は含めない</t>
        </is>
      </c>
    </row>
    <row r="6" ht="15" customHeight="1" s="47">
      <c r="A6" s="53" t="inlineStr">
        <is>
          <t>キャンセル</t>
        </is>
      </c>
      <c r="B6" s="70">
        <f>ROUND(前提!B40*前提!B41,0)</f>
        <v/>
      </c>
      <c r="C6" s="49" t="n"/>
    </row>
    <row r="7" ht="15" customHeight="1" s="47">
      <c r="A7" s="53" t="inlineStr">
        <is>
          <t>利用完了</t>
        </is>
      </c>
      <c r="B7" s="69">
        <f>B5-B6</f>
        <v/>
      </c>
      <c r="C7" s="55" t="inlineStr">
        <is>
          <t>チェックアウト済み</t>
        </is>
      </c>
    </row>
    <row r="8" ht="15" customHeight="1" s="47">
      <c r="A8" s="49" t="n"/>
      <c r="B8" s="49" t="n"/>
      <c r="C8" s="49" t="n"/>
    </row>
    <row r="9" ht="15" customHeight="1" s="47">
      <c r="A9" s="51" t="inlineStr">
        <is>
          <t>売上・変動費（利用完了ベース）</t>
        </is>
      </c>
      <c r="B9" s="52" t="n"/>
      <c r="C9" s="52" t="n"/>
    </row>
    <row r="10" ht="15" customHeight="1" s="47">
      <c r="A10" s="53" t="inlineStr">
        <is>
          <t>プラン売上</t>
        </is>
      </c>
      <c r="B10" s="65">
        <f>B7*前提!B33</f>
        <v/>
      </c>
      <c r="C10" s="49" t="n"/>
    </row>
    <row r="11" ht="15" customHeight="1" s="47">
      <c r="A11" s="53" t="inlineStr">
        <is>
          <t xml:space="preserve">　客室変動費</t>
        </is>
      </c>
      <c r="B11" s="65">
        <f>B7*前提!B37</f>
        <v/>
      </c>
      <c r="C11" s="49" t="n"/>
    </row>
    <row r="12" ht="15" customHeight="1" s="47">
      <c r="A12" s="53" t="inlineStr">
        <is>
          <t xml:space="preserve">　食事原価</t>
        </is>
      </c>
      <c r="B12" s="65">
        <f>B7*前提!B35*前提!B38</f>
        <v/>
      </c>
      <c r="C12" s="49" t="n"/>
    </row>
    <row r="13" ht="15" customHeight="1" s="47">
      <c r="A13" s="53" t="inlineStr">
        <is>
          <t xml:space="preserve">　スパ原価（クレドへの施術料）</t>
        </is>
      </c>
      <c r="B13" s="65">
        <f>B7*前提!B36*前提!B39</f>
        <v/>
      </c>
      <c r="C13" s="49" t="n"/>
    </row>
    <row r="14" ht="15" customHeight="1" s="47">
      <c r="A14" s="66" t="inlineStr">
        <is>
          <t>限界利益</t>
        </is>
      </c>
      <c r="B14" s="67">
        <f>B10-B11-B12-B13</f>
        <v/>
      </c>
      <c r="C14" s="49" t="n"/>
    </row>
    <row r="15" ht="16.5" customHeight="1" s="47">
      <c r="A15" s="59" t="inlineStr">
        <is>
          <t>1室あたり限界利益</t>
        </is>
      </c>
      <c r="B15" s="64">
        <f>IF(B7=0,0,B14/B7)</f>
        <v/>
      </c>
      <c r="C15" s="49" t="n"/>
    </row>
    <row r="16" ht="16.5" customHeight="1" s="47">
      <c r="A16" s="53" t="inlineStr">
        <is>
          <t>増分限界利益（×増分率）</t>
        </is>
      </c>
      <c r="B16" s="65">
        <f>B14*前提!B42</f>
        <v/>
      </c>
      <c r="C16" s="55" t="inlineStr">
        <is>
          <t>既存客の振替分を除外</t>
        </is>
      </c>
    </row>
    <row r="17" ht="15" customHeight="1" s="47">
      <c r="A17" s="49" t="n"/>
      <c r="B17" s="49" t="n"/>
      <c r="C17" s="49" t="n"/>
    </row>
    <row r="18" ht="15" customHeight="1" s="47">
      <c r="A18" s="51" t="inlineStr">
        <is>
          <t>施策の費用</t>
        </is>
      </c>
      <c r="B18" s="52" t="n"/>
      <c r="C18" s="52" t="n"/>
    </row>
    <row r="19" ht="15" customHeight="1" s="47">
      <c r="A19" s="53" t="inlineStr">
        <is>
          <t>アチーバーへの支払（企画運営費＋月額＋個別＋広告実費）</t>
        </is>
      </c>
      <c r="B19" s="65">
        <f>アチーバー案件収支!B5+アチーバー案件収支!B6+アチーバー案件収支!B7+アチーバー案件収支!B9</f>
        <v/>
      </c>
      <c r="C19" s="55" t="inlineStr">
        <is>
          <t>協賛金はスポンサーが支払うため含まない</t>
        </is>
      </c>
    </row>
    <row r="20" ht="15" customHeight="1" s="47">
      <c r="A20" s="53" t="inlineStr">
        <is>
          <t>撮影協力原価</t>
        </is>
      </c>
      <c r="B20" s="65">
        <f>前提!B43</f>
        <v/>
      </c>
      <c r="C20" s="49" t="n"/>
    </row>
    <row r="21" ht="15" customHeight="1" s="47">
      <c r="A21" s="66" t="inlineStr">
        <is>
          <t>施策費用合計</t>
        </is>
      </c>
      <c r="B21" s="67">
        <f>B19+B20</f>
        <v/>
      </c>
      <c r="C21" s="49" t="n"/>
    </row>
    <row r="22" ht="15" customHeight="1" s="47">
      <c r="A22" s="49" t="n"/>
      <c r="B22" s="49" t="n"/>
      <c r="C22" s="49" t="n"/>
    </row>
    <row r="23" ht="16.5" customHeight="1" s="47">
      <c r="A23" s="66" t="inlineStr">
        <is>
          <t>施設の増分利益（90日）</t>
        </is>
      </c>
      <c r="B23" s="67">
        <f>B16-B21</f>
        <v/>
      </c>
      <c r="C23" s="55" t="inlineStr">
        <is>
          <t>継続判断に使う利益</t>
        </is>
      </c>
    </row>
    <row r="24" ht="15" customHeight="1" s="47">
      <c r="A24" s="53" t="inlineStr">
        <is>
          <t>損益分岐に必要な利用完了数</t>
        </is>
      </c>
      <c r="B24" s="69">
        <f>IF(B15*前提!B42=0,0,ROUNDUP(B21/((前提!B33-前提!B37-前提!B35*前提!B38-前提!B36*前提!B39)*前提!B42),0))</f>
        <v/>
      </c>
      <c r="C24" s="71" t="inlineStr">
        <is>
          <t>1室限界利益×増分率で施策費用を回収する件数</t>
        </is>
      </c>
    </row>
    <row r="25" ht="15" customHeight="1" s="47">
      <c r="A25" s="53" t="inlineStr">
        <is>
          <t>損益分岐に必要な予約完了数（キャンセル考慮）</t>
        </is>
      </c>
      <c r="B25" s="69">
        <f>IF(前提!B41&gt;=1,0,ROUNDUP(B24/(1-前提!B41),0))</f>
        <v/>
      </c>
      <c r="C25" s="49" t="n"/>
    </row>
    <row r="26" ht="15" customHeight="1" s="47">
      <c r="A26" s="49" t="n"/>
      <c r="B26" s="49" t="n"/>
      <c r="C26" s="49" t="n"/>
    </row>
    <row r="27" ht="15" customHeight="1" s="47">
      <c r="A27" s="51" t="inlineStr">
        <is>
          <t>参考：クレド側</t>
        </is>
      </c>
      <c r="B27" s="52" t="n"/>
      <c r="C27" s="52" t="n"/>
    </row>
    <row r="28" ht="15" customHeight="1" s="47">
      <c r="A28" s="53" t="inlineStr">
        <is>
          <t>スパ施術料（施設→クレド）</t>
        </is>
      </c>
      <c r="B28" s="64">
        <f>B13</f>
        <v/>
      </c>
      <c r="C28" s="55" t="inlineStr">
        <is>
          <t>契約形態（施術料・場所代・売上分配）は未確定。クレドの利益はここから施術者人件費等を引いたもの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6" min="1" max="1"/>
    <col width="18" customWidth="1" style="46" min="2" max="5"/>
  </cols>
  <sheetData>
    <row r="1" ht="15.75" customHeight="1" s="47">
      <c r="A1" s="48" t="inlineStr">
        <is>
          <t>感応度（仮定の数字による試算。予測ではない）</t>
        </is>
      </c>
      <c r="B1" s="49" t="n"/>
      <c r="C1" s="49" t="n"/>
      <c r="D1" s="49" t="n"/>
      <c r="E1" s="49" t="n"/>
    </row>
    <row r="2" ht="15" customHeight="1" s="47">
      <c r="A2" s="49" t="n"/>
      <c r="B2" s="49" t="n"/>
      <c r="C2" s="49" t="n"/>
      <c r="D2" s="49" t="n"/>
      <c r="E2" s="49" t="n"/>
    </row>
    <row r="3" ht="16.5" customHeight="1" s="47">
      <c r="A3" s="66" t="inlineStr">
        <is>
          <t>表1 アチーバー案件利益（工数込み）× 協賛社数</t>
        </is>
      </c>
      <c r="B3" s="49" t="n"/>
      <c r="C3" s="49" t="n"/>
      <c r="D3" s="49" t="n"/>
      <c r="E3" s="49" t="n"/>
    </row>
    <row r="4" ht="16.5" customHeight="1" s="47">
      <c r="A4" s="51" t="inlineStr">
        <is>
          <t>協賛社数</t>
        </is>
      </c>
      <c r="B4" s="72" t="n">
        <v>0</v>
      </c>
      <c r="C4" s="72" t="n">
        <v>1</v>
      </c>
      <c r="D4" s="72" t="n">
        <v>2</v>
      </c>
      <c r="E4" s="72" t="n">
        <v>3</v>
      </c>
    </row>
    <row r="5" ht="15" customHeight="1" s="47">
      <c r="A5" s="73" t="inlineStr">
        <is>
          <t>案件利益</t>
        </is>
      </c>
      <c r="B5" s="74">
        <f>アチーバー案件収支!$B$30-前提!$B$10*アチーバー案件収支!$B$32+B4*アチーバー案件収支!$B$32</f>
        <v/>
      </c>
      <c r="C5" s="74">
        <f>アチーバー案件収支!$B$30-前提!$B$10*アチーバー案件収支!$B$32+C4*アチーバー案件収支!$B$32</f>
        <v/>
      </c>
      <c r="D5" s="74">
        <f>アチーバー案件収支!$B$30-前提!$B$10*アチーバー案件収支!$B$32+D4*アチーバー案件収支!$B$32</f>
        <v/>
      </c>
      <c r="E5" s="74">
        <f>アチーバー案件収支!$B$30-前提!$B$10*アチーバー案件収支!$B$32+E4*アチーバー案件収支!$B$32</f>
        <v/>
      </c>
    </row>
    <row r="6" ht="15" customHeight="1" s="47">
      <c r="A6" s="49" t="n"/>
      <c r="B6" s="49" t="n"/>
      <c r="C6" s="49" t="n"/>
      <c r="D6" s="49" t="n"/>
      <c r="E6" s="49" t="n"/>
    </row>
    <row r="7" ht="16.5" customHeight="1" s="47">
      <c r="A7" s="66" t="inlineStr">
        <is>
          <t>表2 施設の増分利益（90日）× 識別できた予約完了数</t>
        </is>
      </c>
      <c r="B7" s="49" t="n"/>
      <c r="C7" s="49" t="n"/>
      <c r="D7" s="49" t="n"/>
      <c r="E7" s="49" t="n"/>
    </row>
    <row r="8" ht="16.5" customHeight="1" s="47">
      <c r="A8" s="51" t="inlineStr">
        <is>
          <t>予約完了数</t>
        </is>
      </c>
      <c r="B8" s="75" t="n">
        <v>10</v>
      </c>
      <c r="C8" s="75" t="n">
        <v>20</v>
      </c>
      <c r="D8" s="75" t="n">
        <v>40</v>
      </c>
      <c r="E8" s="75" t="n">
        <v>60</v>
      </c>
    </row>
    <row r="9" ht="15" customHeight="1" s="47">
      <c r="A9" s="73" t="inlineStr">
        <is>
          <t>施設の増分利益</t>
        </is>
      </c>
      <c r="B9" s="74">
        <f>(B8-ROUND(B8*前提!$B$41,0))*(前提!$B$33-前提!$B$37-前提!$B$35*前提!$B$38-前提!$B$36*前提!$B$39)*前提!$B$42-施設収支!$B$21</f>
        <v/>
      </c>
      <c r="C9" s="74">
        <f>(C8-ROUND(C8*前提!$B$41,0))*(前提!$B$33-前提!$B$37-前提!$B$35*前提!$B$38-前提!$B$36*前提!$B$39)*前提!$B$42-施設収支!$B$21</f>
        <v/>
      </c>
      <c r="D9" s="74">
        <f>(D8-ROUND(D8*前提!$B$41,0))*(前提!$B$33-前提!$B$37-前提!$B$35*前提!$B$38-前提!$B$36*前提!$B$39)*前提!$B$42-施設収支!$B$21</f>
        <v/>
      </c>
      <c r="E9" s="74">
        <f>(E8-ROUND(E8*前提!$B$41,0))*(前提!$B$33-前提!$B$37-前提!$B$35*前提!$B$38-前提!$B$36*前提!$B$39)*前提!$B$42-施設収支!$B$21</f>
        <v/>
      </c>
    </row>
    <row r="10" ht="15" customHeight="1" s="47">
      <c r="A10" s="49" t="n"/>
      <c r="B10" s="49" t="n"/>
      <c r="C10" s="49" t="n"/>
      <c r="D10" s="49" t="n"/>
      <c r="E10" s="49" t="n"/>
    </row>
    <row r="11" ht="15" customHeight="1" s="47">
      <c r="A11" s="55" t="inlineStr">
        <is>
          <t>読み方：表1は協賛以外を前提シートのまま、表2は予約数以外を前提シートのままにした試算。</t>
        </is>
      </c>
      <c r="B11" s="49" t="n"/>
      <c r="C11" s="49" t="n"/>
      <c r="D11" s="49" t="n"/>
      <c r="E11" s="49" t="n"/>
    </row>
    <row r="12" ht="15" customHeight="1" s="47">
      <c r="A12" s="55" t="inlineStr">
        <is>
          <t>現在の仮定では、施設が損益分岐に達するのに必要な件数と、アチーバーが工数込みで黒字化する条件が両立しにくい。料金設計の論点として使う。</t>
        </is>
      </c>
      <c r="B12" s="49" t="n"/>
      <c r="C12" s="49" t="n"/>
      <c r="D12" s="49" t="n"/>
      <c r="E12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46" min="1" max="1"/>
    <col width="14" customWidth="1" style="46" min="2" max="3"/>
    <col width="16" customWidth="1" style="46" min="4" max="4"/>
    <col width="50" customWidth="1" style="46" min="5" max="5"/>
  </cols>
  <sheetData>
    <row r="1" ht="15.75" customHeight="1" s="47">
      <c r="A1" s="48" t="inlineStr">
        <is>
          <t>アチーバーの先行負担（施設と契約・着手金入金前）</t>
        </is>
      </c>
      <c r="B1" s="49" t="n"/>
      <c r="C1" s="49" t="n"/>
      <c r="D1" s="49" t="n"/>
      <c r="E1" s="49" t="n"/>
    </row>
    <row r="2" ht="15" customHeight="1" s="47">
      <c r="A2" s="50" t="inlineStr">
        <is>
          <t>原則：契約前は外部への発注をしない。出演費・撮影費・広告費は契約と着手金入金の後に発注。</t>
        </is>
      </c>
      <c r="B2" s="49" t="n"/>
      <c r="C2" s="49" t="n"/>
      <c r="D2" s="49" t="n"/>
      <c r="E2" s="49" t="n"/>
    </row>
    <row r="3" ht="15" customHeight="1" s="47">
      <c r="A3" s="49" t="n"/>
      <c r="B3" s="49" t="n"/>
      <c r="C3" s="49" t="n"/>
      <c r="D3" s="49" t="n"/>
      <c r="E3" s="49" t="n"/>
    </row>
    <row r="4" ht="15" customHeight="1" s="47">
      <c r="A4" s="51" t="inlineStr">
        <is>
          <t>項目</t>
        </is>
      </c>
      <c r="B4" s="51" t="inlineStr">
        <is>
          <t>時間</t>
        </is>
      </c>
      <c r="C4" s="51" t="inlineStr">
        <is>
          <t>単価</t>
        </is>
      </c>
      <c r="D4" s="51" t="inlineStr">
        <is>
          <t>金額</t>
        </is>
      </c>
      <c r="E4" s="51" t="inlineStr">
        <is>
          <t>備考</t>
        </is>
      </c>
    </row>
    <row r="5" ht="16.5" customHeight="1" s="47">
      <c r="A5" s="53" t="inlineStr">
        <is>
          <t>施設調査・提案書作成（AIチーム）</t>
        </is>
      </c>
      <c r="B5" s="76" t="n">
        <v>12</v>
      </c>
      <c r="C5" s="65">
        <f>前提!B29</f>
        <v/>
      </c>
      <c r="D5" s="74">
        <f>B5*C5</f>
        <v/>
      </c>
      <c r="E5" s="55" t="inlineStr">
        <is>
          <t>確認・修正時間を含む</t>
        </is>
      </c>
    </row>
    <row r="6" ht="15" customHeight="1" s="47">
      <c r="A6" s="53" t="inlineStr">
        <is>
          <t>提案・打合せ・出演打診の準備（人）</t>
        </is>
      </c>
      <c r="B6" s="76" t="n">
        <v>15</v>
      </c>
      <c r="C6" s="65">
        <f>前提!B27</f>
        <v/>
      </c>
      <c r="D6" s="74">
        <f>B6*C6</f>
        <v/>
      </c>
      <c r="E6" s="55" t="inlineStr">
        <is>
          <t>白井さん同席の打合せ含む</t>
        </is>
      </c>
    </row>
    <row r="7" ht="16.5" customHeight="1" s="47">
      <c r="A7" s="53" t="inlineStr">
        <is>
          <t>デモ・紹介ページ試作（AIチーム）</t>
        </is>
      </c>
      <c r="B7" s="76" t="n">
        <v>8</v>
      </c>
      <c r="C7" s="65">
        <f>前提!B29</f>
        <v/>
      </c>
      <c r="D7" s="74">
        <f>B7*C7</f>
        <v/>
      </c>
      <c r="E7" s="55" t="inlineStr">
        <is>
          <t>公開しない試作</t>
        </is>
      </c>
    </row>
    <row r="8" ht="15" customHeight="1" s="47">
      <c r="A8" s="53" t="inlineStr">
        <is>
          <t>交通費（現地確認）</t>
        </is>
      </c>
      <c r="B8" s="49" t="n"/>
      <c r="C8" s="49" t="n"/>
      <c r="D8" s="57" t="n">
        <v>20000</v>
      </c>
      <c r="E8" s="55" t="inlineStr">
        <is>
          <t>実費</t>
        </is>
      </c>
    </row>
    <row r="9" ht="15" customHeight="1" s="47">
      <c r="A9" s="49" t="n"/>
      <c r="B9" s="49" t="n"/>
      <c r="C9" s="49" t="n"/>
      <c r="D9" s="49" t="n"/>
      <c r="E9" s="49" t="n"/>
    </row>
    <row r="10" ht="15" customHeight="1" s="47">
      <c r="A10" s="66" t="inlineStr">
        <is>
          <t>先行負担 合計（工数込み）</t>
        </is>
      </c>
      <c r="B10" s="49" t="n"/>
      <c r="C10" s="49" t="n"/>
      <c r="D10" s="67">
        <f>SUM(D5:D8)</f>
        <v/>
      </c>
      <c r="E10" s="49" t="n"/>
    </row>
    <row r="11" ht="15" customHeight="1" s="47">
      <c r="A11" s="73" t="inlineStr">
        <is>
          <t>うち外部支出</t>
        </is>
      </c>
      <c r="B11" s="49" t="n"/>
      <c r="C11" s="49" t="n"/>
      <c r="D11" s="74">
        <f>D8</f>
        <v/>
      </c>
      <c r="E11" s="49" t="n"/>
    </row>
    <row r="12" ht="15" customHeight="1" s="47">
      <c r="A12" s="49" t="n"/>
      <c r="B12" s="49" t="n"/>
      <c r="C12" s="49" t="n"/>
      <c r="D12" s="49" t="n"/>
      <c r="E12" s="49" t="n"/>
    </row>
    <row r="13" ht="15" customHeight="1" s="47">
      <c r="A13" s="73" t="inlineStr">
        <is>
          <t>上限（工数込み）</t>
        </is>
      </c>
      <c r="B13" s="49" t="n"/>
      <c r="C13" s="49" t="n"/>
      <c r="D13" s="54" t="n">
        <v>300000</v>
      </c>
      <c r="E13" s="73" t="inlineStr">
        <is>
          <t>仮定。超える場合は斎藤が継続可否を判断</t>
        </is>
      </c>
    </row>
    <row r="14" ht="15" customHeight="1" s="47">
      <c r="A14" s="73" t="inlineStr">
        <is>
          <t>上限（外部支出）</t>
        </is>
      </c>
      <c r="B14" s="49" t="n"/>
      <c r="C14" s="49" t="n"/>
      <c r="D14" s="54" t="n">
        <v>100000</v>
      </c>
      <c r="E14" s="49" t="n"/>
    </row>
    <row r="15" ht="15" customHeight="1" s="47">
      <c r="A15" s="49" t="n"/>
      <c r="B15" s="49" t="n"/>
      <c r="C15" s="49" t="n"/>
      <c r="D15" s="49" t="n"/>
      <c r="E15" s="49" t="n"/>
    </row>
    <row r="16" ht="15" customHeight="1" s="47">
      <c r="A16" s="66" t="inlineStr">
        <is>
          <t>判定</t>
        </is>
      </c>
      <c r="B16" s="49" t="n"/>
      <c r="C16" s="49" t="n"/>
      <c r="D16" s="66">
        <f>IF(AND(D10&lt;=D13,D11&lt;=D14),"上限内","斎藤の判断が必要")</f>
        <v/>
      </c>
      <c r="E16" s="49" t="n"/>
    </row>
    <row r="17" ht="15" customHeight="1" s="47">
      <c r="A17" s="49" t="n"/>
      <c r="B17" s="49" t="n"/>
      <c r="C17" s="49" t="n"/>
      <c r="D17" s="49" t="n"/>
      <c r="E17" s="49" t="n"/>
    </row>
    <row r="18" ht="15" customHeight="1" s="47">
      <c r="A18" s="66" t="inlineStr">
        <is>
          <t>上限の考え方</t>
        </is>
      </c>
      <c r="B18" s="49" t="n"/>
      <c r="C18" s="49" t="n"/>
      <c r="D18" s="49" t="n"/>
      <c r="E18" s="49" t="n"/>
    </row>
    <row r="19" ht="16.5" customHeight="1" s="47">
      <c r="A19" s="59" t="inlineStr">
        <is>
          <t>1. 契約前に失ってよい金額を先に決める。今回は「工数込み30万円・外部支出10万円」を仮置き。</t>
        </is>
      </c>
      <c r="B19" s="49" t="n"/>
      <c r="C19" s="49" t="n"/>
      <c r="D19" s="49" t="n"/>
      <c r="E19" s="49" t="n"/>
    </row>
    <row r="20" ht="16.5" customHeight="1" s="47">
      <c r="A20" s="59" t="inlineStr">
        <is>
          <t>2. 出演費・撮影費・広告費は、施設との契約締結と着手金（企画運営費の50%を想定）の入金後に発注する。</t>
        </is>
      </c>
      <c r="B20" s="49" t="n"/>
      <c r="C20" s="49" t="n"/>
      <c r="D20" s="49" t="n"/>
      <c r="E20" s="49" t="n"/>
    </row>
    <row r="21" ht="16.5" customHeight="1" s="47">
      <c r="A21" s="59" t="inlineStr">
        <is>
          <t>3. 出演者への正式依頼は、出演条件・肖像利用範囲・費用負担者が決まってから行う。</t>
        </is>
      </c>
      <c r="B21" s="49" t="n"/>
      <c r="C21" s="49" t="n"/>
      <c r="D21" s="49" t="n"/>
      <c r="E21" s="49" t="n"/>
    </row>
    <row r="22" ht="16.5" customHeight="1" s="47">
      <c r="A22" s="59" t="inlineStr">
        <is>
          <t>4. 施設の合意が得られない場合、作成済みの調査・提案書は次の施設候補に転用する。</t>
        </is>
      </c>
      <c r="B22" s="49" t="n"/>
      <c r="C22" s="49" t="n"/>
      <c r="D22" s="49" t="n"/>
      <c r="E22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46" min="1" max="1"/>
    <col width="16" customWidth="1" style="46" min="2" max="5"/>
  </cols>
  <sheetData>
    <row r="1" ht="16.15" customHeight="1" s="47">
      <c r="A1" s="77" t="inlineStr">
        <is>
          <t>共同余剰分析（施設＋アチーバーの合計。料金の取り合いでは変わらない部分）</t>
        </is>
      </c>
    </row>
    <row r="2" ht="15" customHeight="1" s="47">
      <c r="A2" s="78" t="inlineStr">
        <is>
          <t>仮定の数字による試算。予測ではない。クレドのスパ利益は原価不明のため含めない。</t>
        </is>
      </c>
    </row>
    <row r="4" ht="15" customHeight="1" s="47">
      <c r="A4" s="79" t="inlineStr">
        <is>
          <t>施設の増分利益</t>
        </is>
      </c>
      <c r="B4" s="65">
        <f>施設収支!B23</f>
        <v/>
      </c>
    </row>
    <row r="5" ht="15" customHeight="1" s="47">
      <c r="A5" s="79" t="inlineStr">
        <is>
          <t>アチーバーの案件利益（工数込み）</t>
        </is>
      </c>
      <c r="B5" s="65">
        <f>アチーバー案件収支!B30</f>
        <v/>
      </c>
    </row>
    <row r="6" ht="15" customHeight="1" s="47">
      <c r="A6" s="80" t="inlineStr">
        <is>
          <t>合計余剰</t>
        </is>
      </c>
      <c r="B6" s="67">
        <f>B4+B5</f>
        <v/>
      </c>
    </row>
    <row r="7" ht="17.15" customHeight="1" s="47">
      <c r="A7" s="81" t="inlineStr">
        <is>
          <t>検算：利用完了×1室増分限界利益＋協賛純額−固定費</t>
        </is>
      </c>
      <c r="B7" s="64">
        <f>施設収支!B7*施設収支!B15*前提!B42+前提!B10*アチーバー案件収支!B32-B9</f>
        <v/>
      </c>
    </row>
    <row r="8" ht="17.15" customHeight="1" s="47">
      <c r="A8" s="59" t="inlineStr">
        <is>
          <t>1室あたり増分限界利益（限界利益×増分率）</t>
        </is>
      </c>
      <c r="B8" s="64">
        <f>(前提!B33-前提!B37-前提!B35*前提!B38-前提!B36*前提!B39)*前提!B42</f>
        <v/>
      </c>
    </row>
    <row r="9" ht="15" customHeight="1" s="47">
      <c r="A9" s="81" t="inlineStr">
        <is>
          <t>初回の固定費合計（外部支出＋作業費＋撮影協力。協賛・個別・広告実費請求を除く）</t>
        </is>
      </c>
      <c r="B9" s="64">
        <f>前提!B15+前提!B16+前提!B17+前提!B18+前提!B19+(前提!B21+前提!B22)*前提!B7+アチーバー案件収支!B28-前提!B8*前提!B30*前提!B27+前提!B43</f>
        <v/>
      </c>
    </row>
    <row r="11" ht="17.15" customHeight="1" s="47">
      <c r="A11" s="80" t="inlineStr">
        <is>
          <t>表A 合計で黒字になる件数（協賛社数別）</t>
        </is>
      </c>
    </row>
    <row r="12" ht="15" customHeight="1" s="47">
      <c r="A12" s="82" t="inlineStr">
        <is>
          <t>協賛社数</t>
        </is>
      </c>
      <c r="B12" s="82" t="inlineStr">
        <is>
          <t>必要な利用完了数</t>
        </is>
      </c>
      <c r="C12" s="82" t="inlineStr">
        <is>
          <t>必要な予約完了数</t>
        </is>
      </c>
    </row>
    <row r="13" ht="17.15" customHeight="1" s="47">
      <c r="A13" s="83" t="n">
        <v>0</v>
      </c>
      <c r="B13" s="69">
        <f>MAX(0,ROUNDUP(($B$9-A13*アチーバー案件収支!$B$32)/$B$8,0))</f>
        <v/>
      </c>
      <c r="C13" s="69">
        <f>IF(前提!$B$41&gt;=1,0,ROUNDUP(B13/(1-前提!$B$41),0))</f>
        <v/>
      </c>
    </row>
    <row r="14" ht="17.15" customHeight="1" s="47">
      <c r="A14" s="83" t="n">
        <v>1</v>
      </c>
      <c r="B14" s="69">
        <f>MAX(0,ROUNDUP(($B$9-A14*アチーバー案件収支!$B$32)/$B$8,0))</f>
        <v/>
      </c>
      <c r="C14" s="69">
        <f>IF(前提!$B$41&gt;=1,0,ROUNDUP(B14/(1-前提!$B$41),0))</f>
        <v/>
      </c>
    </row>
    <row r="15" ht="17.15" customHeight="1" s="47">
      <c r="A15" s="83" t="n">
        <v>2</v>
      </c>
      <c r="B15" s="69">
        <f>MAX(0,ROUNDUP(($B$9-A15*アチーバー案件収支!$B$32)/$B$8,0))</f>
        <v/>
      </c>
      <c r="C15" s="69">
        <f>IF(前提!$B$41&gt;=1,0,ROUNDUP(B15/(1-前提!$B$41),0))</f>
        <v/>
      </c>
    </row>
    <row r="16" ht="17.15" customHeight="1" s="47">
      <c r="A16" s="83" t="n">
        <v>3</v>
      </c>
      <c r="B16" s="69">
        <f>MAX(0,ROUNDUP(($B$9-A16*アチーバー案件収支!$B$32)/$B$8,0))</f>
        <v/>
      </c>
      <c r="C16" s="69">
        <f>IF(前提!$B$41&gt;=1,0,ROUNDUP(B16/(1-前提!$B$41),0))</f>
        <v/>
      </c>
    </row>
    <row r="18" ht="17.15" customHeight="1" s="47">
      <c r="A18" s="80" t="inlineStr">
        <is>
          <t>表B 1施設あたり固定費を下げた場合の必要件数（協賛なし）</t>
        </is>
      </c>
    </row>
    <row r="19" ht="17.15" customHeight="1" s="47">
      <c r="A19" s="84" t="inlineStr">
        <is>
          <t>1施設あたり固定費</t>
        </is>
      </c>
      <c r="B19" s="82" t="inlineStr">
        <is>
          <t>必要な利用完了数</t>
        </is>
      </c>
      <c r="C19" s="82" t="inlineStr">
        <is>
          <t>必要な予約完了数</t>
        </is>
      </c>
    </row>
    <row r="20" ht="15" customHeight="1" s="47">
      <c r="A20" s="57" t="n">
        <v>2040000</v>
      </c>
      <c r="B20" s="69">
        <f>ROUNDUP(A20/$B$8,0)</f>
        <v/>
      </c>
      <c r="C20" s="69">
        <f>IF(前提!$B$41&gt;=1,0,ROUNDUP(B20/(1-前提!$B$41),0))</f>
        <v/>
      </c>
    </row>
    <row r="21" ht="15" customHeight="1" s="47">
      <c r="A21" s="57" t="n">
        <v>1500000</v>
      </c>
      <c r="B21" s="69">
        <f>ROUNDUP(A21/$B$8,0)</f>
        <v/>
      </c>
      <c r="C21" s="69">
        <f>IF(前提!$B$41&gt;=1,0,ROUNDUP(B21/(1-前提!$B$41),0))</f>
        <v/>
      </c>
    </row>
    <row r="22" ht="15" customHeight="1" s="47">
      <c r="A22" s="57" t="n">
        <v>1000000</v>
      </c>
      <c r="B22" s="69">
        <f>ROUNDUP(A22/$B$8,0)</f>
        <v/>
      </c>
      <c r="C22" s="69">
        <f>IF(前提!$B$41&gt;=1,0,ROUNDUP(B22/(1-前提!$B$41),0))</f>
        <v/>
      </c>
    </row>
    <row r="23" ht="15" customHeight="1" s="47">
      <c r="A23" s="57" t="n">
        <v>700000</v>
      </c>
      <c r="B23" s="69">
        <f>ROUNDUP(A23/$B$8,0)</f>
        <v/>
      </c>
      <c r="C23" s="69">
        <f>IF(前提!$B$41&gt;=1,0,ROUNDUP(B23/(1-前提!$B$41),0))</f>
        <v/>
      </c>
    </row>
    <row r="25" ht="15" customHeight="1" s="47">
      <c r="A25" s="85" t="inlineStr">
        <is>
          <t>読み方：合計余剰がマイナスのとき、料金をどう分けてもどちらかが赤字になる。改善できるのは件数・増分率・単価・協賛・固定費のいずれか。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52" customWidth="1" style="47" min="1" max="1"/>
    <col width="14" customWidth="1" style="47" min="2" max="2"/>
    <col width="14" customWidth="1" style="47" min="3" max="3"/>
    <col width="14" customWidth="1" style="47" min="4" max="4"/>
  </cols>
  <sheetData>
    <row r="1">
      <c r="A1" s="86" t="inlineStr">
        <is>
          <t>新料金モデル（協賛主力＋施設は固定費＋成果報酬）― 初回90日・1施設</t>
        </is>
      </c>
    </row>
    <row r="2">
      <c r="A2" s="46" t="inlineStr">
        <is>
          <t>すべて仮定。青字=入力値。共通の前提（施設のプラン価格・原価率・増分率・工数単価など）は「前提」シートを参照。詳細は07_アチーバー収益設計.md。</t>
        </is>
      </c>
    </row>
    <row r="4">
      <c r="A4" s="87" t="inlineStr">
        <is>
          <t>項目</t>
        </is>
      </c>
      <c r="B4" s="87" t="inlineStr">
        <is>
          <t>A 保守</t>
        </is>
      </c>
      <c r="C4" s="87" t="inlineStr">
        <is>
          <t>B 標準</t>
        </is>
      </c>
      <c r="D4" s="87" t="inlineStr">
        <is>
          <t>2施設目</t>
        </is>
      </c>
    </row>
    <row r="5">
      <c r="A5" s="87" t="inlineStr">
        <is>
          <t>【入力】施設への請求</t>
        </is>
      </c>
    </row>
    <row r="6">
      <c r="A6" s="46" t="inlineStr">
        <is>
          <t>企画運営費（一括）</t>
        </is>
      </c>
      <c r="B6" s="88" t="n">
        <v>300000</v>
      </c>
      <c r="C6" s="88" t="n">
        <v>300000</v>
      </c>
      <c r="D6" s="88" t="n">
        <v>300000</v>
      </c>
    </row>
    <row r="7">
      <c r="A7" s="46" t="inlineStr">
        <is>
          <t>月額運営料（1か月）</t>
        </is>
      </c>
      <c r="B7" s="88" t="n">
        <v>100000</v>
      </c>
      <c r="C7" s="88" t="n">
        <v>100000</v>
      </c>
      <c r="D7" s="88" t="n">
        <v>100000</v>
      </c>
    </row>
    <row r="8">
      <c r="A8" s="46" t="inlineStr">
        <is>
          <t>成果報酬（利用完了1件）</t>
        </is>
      </c>
      <c r="B8" s="88" t="n">
        <v>6000</v>
      </c>
      <c r="C8" s="88" t="n">
        <v>6000</v>
      </c>
      <c r="D8" s="88" t="n">
        <v>6000</v>
      </c>
    </row>
    <row r="9">
      <c r="A9" s="46" t="inlineStr">
        <is>
          <t>広告費のうち施設へ実費請求する額</t>
        </is>
      </c>
      <c r="B9" s="88" t="n">
        <v>150000</v>
      </c>
      <c r="C9" s="88" t="n">
        <v>150000</v>
      </c>
      <c r="D9" s="88" t="n">
        <v>150000</v>
      </c>
    </row>
    <row r="10">
      <c r="A10" s="87" t="inlineStr">
        <is>
          <t>【入力】協賛</t>
        </is>
      </c>
    </row>
    <row r="11">
      <c r="A11" s="46" t="inlineStr">
        <is>
          <t>体験協賛 社数</t>
        </is>
      </c>
      <c r="B11" s="88" t="n">
        <v>2</v>
      </c>
      <c r="C11" s="88" t="n">
        <v>3</v>
      </c>
      <c r="D11" s="88" t="n">
        <v>1</v>
      </c>
    </row>
    <row r="12">
      <c r="A12" s="46" t="inlineStr">
        <is>
          <t>特典協賛 社数</t>
        </is>
      </c>
      <c r="B12" s="88" t="n">
        <v>1</v>
      </c>
      <c r="C12" s="88" t="n">
        <v>2</v>
      </c>
      <c r="D12" s="88" t="n">
        <v>1</v>
      </c>
    </row>
    <row r="13">
      <c r="A13" s="46" t="inlineStr">
        <is>
          <t>体験協賛 単価</t>
        </is>
      </c>
      <c r="B13" s="88" t="n">
        <v>500000</v>
      </c>
      <c r="C13" s="88" t="n">
        <v>500000</v>
      </c>
      <c r="D13" s="88" t="n">
        <v>500000</v>
      </c>
    </row>
    <row r="14">
      <c r="A14" s="46" t="inlineStr">
        <is>
          <t>特典協賛 単価</t>
        </is>
      </c>
      <c r="B14" s="88" t="n">
        <v>200000</v>
      </c>
      <c r="C14" s="88" t="n">
        <v>200000</v>
      </c>
      <c r="D14" s="88" t="n">
        <v>200000</v>
      </c>
    </row>
    <row r="15">
      <c r="A15" s="46" t="inlineStr">
        <is>
          <t>体験協賛 履行原価（1社）</t>
        </is>
      </c>
      <c r="B15" s="88" t="n">
        <v>50000</v>
      </c>
      <c r="C15" s="88" t="n">
        <v>50000</v>
      </c>
      <c r="D15" s="88" t="n">
        <v>50000</v>
      </c>
    </row>
    <row r="16">
      <c r="A16" s="46" t="inlineStr">
        <is>
          <t>特典協賛 履行原価（1社）</t>
        </is>
      </c>
      <c r="B16" s="88" t="n">
        <v>20000</v>
      </c>
      <c r="C16" s="88" t="n">
        <v>20000</v>
      </c>
      <c r="D16" s="88" t="n">
        <v>20000</v>
      </c>
    </row>
    <row r="17">
      <c r="A17" s="46" t="inlineStr">
        <is>
          <t>クレド紹介料率（協賛売上に対し。仮置き・未決定）</t>
        </is>
      </c>
      <c r="B17" s="89" t="n">
        <v>0.1</v>
      </c>
      <c r="C17" s="89" t="n">
        <v>0.1</v>
      </c>
      <c r="D17" s="89" t="n">
        <v>0.1</v>
      </c>
    </row>
    <row r="18">
      <c r="A18" s="87" t="inlineStr">
        <is>
          <t>【入力】外部支出</t>
        </is>
      </c>
    </row>
    <row r="19">
      <c r="A19" s="46" t="inlineStr">
        <is>
          <t>出演費</t>
        </is>
      </c>
      <c r="B19" s="88" t="n">
        <v>400000</v>
      </c>
      <c r="C19" s="88" t="n">
        <v>400000</v>
      </c>
      <c r="D19" s="88" t="n">
        <v>0</v>
      </c>
    </row>
    <row r="20">
      <c r="A20" s="46" t="inlineStr">
        <is>
          <t>撮影費</t>
        </is>
      </c>
      <c r="B20" s="88" t="n">
        <v>200000</v>
      </c>
      <c r="C20" s="88" t="n">
        <v>200000</v>
      </c>
      <c r="D20" s="88" t="n">
        <v>0</v>
      </c>
    </row>
    <row r="21">
      <c r="A21" s="46" t="inlineStr">
        <is>
          <t>編集外注費</t>
        </is>
      </c>
      <c r="B21" s="88" t="n">
        <v>150000</v>
      </c>
      <c r="C21" s="88" t="n">
        <v>150000</v>
      </c>
      <c r="D21" s="88" t="n">
        <v>50000</v>
      </c>
    </row>
    <row r="22">
      <c r="A22" s="46" t="inlineStr">
        <is>
          <t>交通費</t>
        </is>
      </c>
      <c r="B22" s="88" t="n">
        <v>50000</v>
      </c>
      <c r="C22" s="88" t="n">
        <v>50000</v>
      </c>
      <c r="D22" s="88" t="n">
        <v>50000</v>
      </c>
    </row>
    <row r="23">
      <c r="A23" s="46" t="inlineStr">
        <is>
          <t>広告費（合計）</t>
        </is>
      </c>
      <c r="B23" s="88" t="n">
        <v>300000</v>
      </c>
      <c r="C23" s="88" t="n">
        <v>300000</v>
      </c>
      <c r="D23" s="88" t="n">
        <v>150000</v>
      </c>
    </row>
    <row r="24">
      <c r="A24" s="87" t="inlineStr">
        <is>
          <t>【入力】工数・予約</t>
        </is>
      </c>
    </row>
    <row r="25">
      <c r="A25" s="46" t="inlineStr">
        <is>
          <t>人の作業時間</t>
        </is>
      </c>
      <c r="B25" s="88" t="n">
        <v>60</v>
      </c>
      <c r="C25" s="88" t="n">
        <v>60</v>
      </c>
      <c r="D25" s="88" t="n">
        <v>35</v>
      </c>
    </row>
    <row r="26">
      <c r="A26" s="46" t="inlineStr">
        <is>
          <t>AIチーム作業時間</t>
        </is>
      </c>
      <c r="B26" s="88" t="n">
        <v>50</v>
      </c>
      <c r="C26" s="88" t="n">
        <v>50</v>
      </c>
      <c r="D26" s="88" t="n">
        <v>25</v>
      </c>
    </row>
    <row r="27">
      <c r="A27" s="46" t="inlineStr">
        <is>
          <t>利用完了数（施設）</t>
        </is>
      </c>
      <c r="B27" s="88" t="n">
        <v>18</v>
      </c>
      <c r="C27" s="88" t="n">
        <v>18</v>
      </c>
      <c r="D27" s="88" t="n">
        <v>18</v>
      </c>
    </row>
    <row r="29">
      <c r="A29" s="87" t="inlineStr">
        <is>
          <t>【計算】アチーバー案件収支</t>
        </is>
      </c>
    </row>
    <row r="30">
      <c r="A30" s="46" t="inlineStr">
        <is>
          <t>施設からの収入</t>
        </is>
      </c>
      <c r="B30" s="90">
        <f>B6+B7*前提!$B$7+B8*B27+B9</f>
        <v/>
      </c>
      <c r="C30" s="90">
        <f>C6+C7*前提!$B$7+C8*C27+C9</f>
        <v/>
      </c>
      <c r="D30" s="90">
        <f>D6+D7*前提!$B$7+D8*D27+D9</f>
        <v/>
      </c>
    </row>
    <row r="31">
      <c r="A31" s="46" t="inlineStr">
        <is>
          <t>協賛売上</t>
        </is>
      </c>
      <c r="B31" s="90">
        <f>B11*B13+B12*B14</f>
        <v/>
      </c>
      <c r="C31" s="90">
        <f>C11*C13+C12*C14</f>
        <v/>
      </c>
      <c r="D31" s="90">
        <f>D11*D13+D12*D14</f>
        <v/>
      </c>
    </row>
    <row r="32">
      <c r="A32" s="87" t="inlineStr">
        <is>
          <t>収入合計</t>
        </is>
      </c>
      <c r="B32" s="91">
        <f>B30+B31</f>
        <v/>
      </c>
      <c r="C32" s="91">
        <f>C30+C31</f>
        <v/>
      </c>
      <c r="D32" s="91">
        <f>D30+D31</f>
        <v/>
      </c>
    </row>
    <row r="33">
      <c r="A33" s="46" t="inlineStr">
        <is>
          <t>外部支出</t>
        </is>
      </c>
      <c r="B33" s="90">
        <f>B19+B20+B21+B22+B23+(前提!$B$21+前提!$B$22)*前提!$B$7+B11*B15+B12*B16+B31*B17</f>
        <v/>
      </c>
      <c r="C33" s="90">
        <f>C19+C20+C21+C22+C23+(前提!$B$21+前提!$B$22)*前提!$B$7+C11*C15+C12*C16+C31*C17</f>
        <v/>
      </c>
      <c r="D33" s="90">
        <f>D19+D20+D21+D22+D23+(前提!$B$21+前提!$B$22)*前提!$B$7+D11*D15+D12*D16+D31*D17</f>
        <v/>
      </c>
      <c r="E33" s="46" t="inlineStr">
        <is>
          <t>紹介料を含む</t>
        </is>
      </c>
    </row>
    <row r="34">
      <c r="A34" s="87" t="inlineStr">
        <is>
          <t>現金ベースの粗利</t>
        </is>
      </c>
      <c r="B34" s="91">
        <f>B32-B33</f>
        <v/>
      </c>
      <c r="C34" s="91">
        <f>C32-C33</f>
        <v/>
      </c>
      <c r="D34" s="91">
        <f>D32-D33</f>
        <v/>
      </c>
    </row>
    <row r="35">
      <c r="A35" s="46" t="inlineStr">
        <is>
          <t>社内作業費</t>
        </is>
      </c>
      <c r="B35" s="90">
        <f>B25*前提!$B$27+B26*前提!$B$29</f>
        <v/>
      </c>
      <c r="C35" s="90">
        <f>C25*前提!$B$27+C26*前提!$B$29</f>
        <v/>
      </c>
      <c r="D35" s="90">
        <f>D25*前提!$B$27+D26*前提!$B$29</f>
        <v/>
      </c>
    </row>
    <row r="36">
      <c r="A36" s="87" t="inlineStr">
        <is>
          <t>案件利益（工数込み）</t>
        </is>
      </c>
      <c r="B36" s="91">
        <f>B34-B35</f>
        <v/>
      </c>
      <c r="C36" s="91">
        <f>C34-C35</f>
        <v/>
      </c>
      <c r="D36" s="91">
        <f>D34-D35</f>
        <v/>
      </c>
    </row>
    <row r="38">
      <c r="A38" s="87" t="inlineStr">
        <is>
          <t>【計算】施設収支</t>
        </is>
      </c>
    </row>
    <row r="39">
      <c r="A39" s="46" t="inlineStr">
        <is>
          <t>1室あたり限界利益</t>
        </is>
      </c>
      <c r="B39" s="90">
        <f>前提!$B$33-前提!$B$37-前提!$B$35*前提!$B$38-前提!$B$36*前提!$B$39</f>
        <v/>
      </c>
      <c r="C39" s="90">
        <f>前提!$B$33-前提!$B$37-前提!$B$35*前提!$B$38-前提!$B$36*前提!$B$39</f>
        <v/>
      </c>
      <c r="D39" s="90">
        <f>前提!$B$33-前提!$B$37-前提!$B$35*前提!$B$38-前提!$B$36*前提!$B$39</f>
        <v/>
      </c>
    </row>
    <row r="40">
      <c r="A40" s="46" t="inlineStr">
        <is>
          <t>増分限界利益</t>
        </is>
      </c>
      <c r="B40" s="90">
        <f>B27*B39*前提!$B$42</f>
        <v/>
      </c>
      <c r="C40" s="90">
        <f>C27*C39*前提!$B$42</f>
        <v/>
      </c>
      <c r="D40" s="90">
        <f>D27*D39*前提!$B$42</f>
        <v/>
      </c>
    </row>
    <row r="41">
      <c r="A41" s="46" t="inlineStr">
        <is>
          <t>施設の施策費用</t>
        </is>
      </c>
      <c r="B41" s="90">
        <f>B30+前提!$B$43</f>
        <v/>
      </c>
      <c r="C41" s="90">
        <f>C30+前提!$B$43</f>
        <v/>
      </c>
      <c r="D41" s="90">
        <f>D30+前提!$B$43</f>
        <v/>
      </c>
    </row>
    <row r="42">
      <c r="A42" s="87" t="inlineStr">
        <is>
          <t>施設の増分利益</t>
        </is>
      </c>
      <c r="B42" s="91">
        <f>B40-B41</f>
        <v/>
      </c>
      <c r="C42" s="91">
        <f>C40-C41</f>
        <v/>
      </c>
      <c r="D42" s="91">
        <f>D40-D41</f>
        <v/>
      </c>
    </row>
    <row r="43">
      <c r="A43" s="46" t="inlineStr">
        <is>
          <t>損益分岐に必要な利用完了数</t>
        </is>
      </c>
      <c r="B43" s="92">
        <f>ROUNDUP(B41/(B39*前提!$B$42),0)</f>
        <v/>
      </c>
      <c r="C43" s="92">
        <f>ROUNDUP(C41/(C39*前提!$B$42),0)</f>
        <v/>
      </c>
      <c r="D43" s="92">
        <f>ROUNDUP(D41/(D39*前提!$B$42),0)</f>
        <v/>
      </c>
    </row>
    <row r="44">
      <c r="A44" s="46" t="inlineStr">
        <is>
          <t>損益分岐に必要な予約完了数（キャンセル考慮）</t>
        </is>
      </c>
      <c r="B44" s="92">
        <f>ROUNDUP(B43/(1-前提!$B$41),0)</f>
        <v/>
      </c>
      <c r="C44" s="92">
        <f>ROUNDUP(C43/(1-前提!$B$41),0)</f>
        <v/>
      </c>
      <c r="D44" s="92">
        <f>ROUNDUP(D43/(1-前提!$B$41),0)</f>
        <v/>
      </c>
    </row>
    <row r="46">
      <c r="A46" s="93" t="inlineStr">
        <is>
          <t>注：2施設目の出演費0・撮影費0は「初回素材を出演者の許諾範囲内で再利用できる」ことが前提で、未合意。AIチーム工数も実測前の仮定。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2026-10-04T13:14:23Z</dcterms:created>
  <dcterms:modified xsi:type="dcterms:W3CDTF">2026-10-04T13:43:36Z</dcterms:modified>
  <cp:revision>0</cp:revision>
</cp:coreProperties>
</file>